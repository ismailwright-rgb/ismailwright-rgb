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rvices" sheetId="1" state="visible" r:id="rId1"/>
    <sheet name="Packages &amp; Savings" sheetId="2" state="visible" r:id="rId2"/>
    <sheet name="Home Services" sheetId="3" state="visible" r:id="rId3"/>
    <sheet name="Law Firms" sheetId="4" state="visible" r:id="rId4"/>
    <sheet name="Medical" sheetId="5" state="visible" r:id="rId5"/>
    <sheet name="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#,##0.00;($#,##0.00);-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D6B4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0" fontId="2" fillId="3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Sanaku</author>
  </authors>
  <commentList>
    <comment ref="E15" authorId="0" shapeId="0">
      <text>
        <t>Setup % saved. Packages are priced off the individual prices, never off another package, so a discount is never applied twice.</t>
      </text>
    </comment>
    <comment ref="E27" authorId="0" shapeId="0">
      <text>
        <t>Setup % saved. Packages are priced off the individual prices, never off another package, so a discount is never applied twice.</t>
      </text>
    </comment>
    <comment ref="E37" authorId="0" shapeId="0">
      <text>
        <t>Setup % saved. Packages are priced off the individual prices, never off another package, so a discount is never applied twice.</t>
      </text>
    </comment>
    <comment ref="E44" authorId="0" shapeId="0">
      <text>
        <t>Setup % saved. Packages are priced off the individual prices, never off another package, so a discount is never applied twice.</t>
      </text>
    </comment>
    <comment ref="E51" authorId="0" shapeId="0">
      <text>
        <t>Setup % saved. Packages are priced off the individual prices, never off another package, so a discount is never applied twice.</t>
      </text>
    </comment>
    <comment ref="E59" authorId="0" shapeId="0">
      <text>
        <t>Setup % saved. Packages are priced off the individual prices, never off another package, so a discount is never applied twice.</t>
      </text>
    </comment>
    <comment ref="E67" authorId="0" shapeId="0">
      <text>
        <t>Setup % saved. Packages are priced off the individual prices, never off another package, so a discount is never applied twice.</t>
      </text>
    </comment>
    <comment ref="E75" authorId="0" shapeId="0">
      <text>
        <t>Setup % saved. Packages are priced off the individual prices, never off another package, so a discount is never applied twice.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3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7" customWidth="1" min="10" max="10"/>
    <col width="12" customWidth="1" min="11" max="11"/>
    <col width="16" customWidth="1" min="12" max="12"/>
  </cols>
  <sheetData>
    <row r="1">
      <c r="A1" s="1" t="inlineStr">
        <is>
          <t>Sanaku — every service in the catalog</t>
        </is>
      </c>
    </row>
    <row r="2">
      <c r="A2" s="2" t="inlineStr">
        <is>
          <t>Blue figures are the catalog prices — edit these and every other tab follows. Generated from docs/catalog.json; re-pull it after changing a price in Supabase.</t>
        </is>
      </c>
    </row>
    <row r="4">
      <c r="A4" s="3" t="inlineStr">
        <is>
          <t>Code</t>
        </is>
      </c>
      <c r="B4" s="3" t="inlineStr">
        <is>
          <t>Service</t>
        </is>
      </c>
      <c r="C4" s="3" t="inlineStr">
        <is>
          <t>Type</t>
        </is>
      </c>
      <c r="D4" s="3" t="inlineStr">
        <is>
          <t>Verticals</t>
        </is>
      </c>
      <c r="E4" s="3" t="inlineStr">
        <is>
          <t>Setup</t>
        </is>
      </c>
      <c r="F4" s="3" t="inlineStr">
        <is>
          <t>Monthly</t>
        </is>
      </c>
      <c r="G4" s="3" t="inlineStr">
        <is>
          <t>Included</t>
        </is>
      </c>
      <c r="H4" s="3" t="inlineStr">
        <is>
          <t>Unit</t>
        </is>
      </c>
      <c r="I4" s="3" t="inlineStr">
        <is>
          <t>Overage</t>
        </is>
      </c>
      <c r="J4" s="3" t="inlineStr">
        <is>
          <t>Per qualified lead</t>
        </is>
      </c>
      <c r="K4" s="3" t="inlineStr">
        <is>
          <t>BAA required</t>
        </is>
      </c>
      <c r="L4" s="3" t="inlineStr">
        <is>
          <t>Status</t>
        </is>
      </c>
    </row>
    <row r="5">
      <c r="A5" s="4" t="inlineStr">
        <is>
          <t>bundle_complete_home</t>
        </is>
      </c>
      <c r="B5" s="4" t="inlineStr">
        <is>
          <t>The Whole System</t>
        </is>
      </c>
      <c r="C5" s="4" t="inlineStr">
        <is>
          <t>bundle</t>
        </is>
      </c>
      <c r="D5" s="4" t="inlineStr">
        <is>
          <t>home_services</t>
        </is>
      </c>
      <c r="E5" s="5" t="n">
        <v>2500</v>
      </c>
      <c r="F5" s="5" t="n">
        <v>1250</v>
      </c>
      <c r="G5" s="6" t="n">
        <v>700</v>
      </c>
      <c r="H5" s="4" t="inlineStr">
        <is>
          <t>minutes</t>
        </is>
      </c>
      <c r="I5" s="7" t="n">
        <v>0.45</v>
      </c>
      <c r="J5" s="5" t="n">
        <v>15</v>
      </c>
      <c r="K5" s="4" t="inlineStr"/>
      <c r="L5" s="4" t="inlineStr">
        <is>
          <t>In development</t>
        </is>
      </c>
    </row>
    <row r="6">
      <c r="A6" s="4" t="inlineStr">
        <is>
          <t>bundle_complete_law</t>
        </is>
      </c>
      <c r="B6" s="4" t="inlineStr">
        <is>
          <t>The Whole System</t>
        </is>
      </c>
      <c r="C6" s="4" t="inlineStr">
        <is>
          <t>bundle</t>
        </is>
      </c>
      <c r="D6" s="4" t="inlineStr">
        <is>
          <t>law_firm</t>
        </is>
      </c>
      <c r="E6" s="5" t="n">
        <v>4450</v>
      </c>
      <c r="F6" s="5" t="n">
        <v>2150</v>
      </c>
      <c r="G6" s="6" t="n">
        <v>700</v>
      </c>
      <c r="H6" s="4" t="inlineStr">
        <is>
          <t>minutes</t>
        </is>
      </c>
      <c r="I6" s="7" t="n">
        <v>0.55</v>
      </c>
      <c r="J6" s="5" t="n">
        <v>35</v>
      </c>
      <c r="K6" s="4" t="inlineStr"/>
      <c r="L6" s="4" t="inlineStr">
        <is>
          <t>In development</t>
        </is>
      </c>
    </row>
    <row r="7">
      <c r="A7" s="4" t="inlineStr">
        <is>
          <t>bundle_complete_medical</t>
        </is>
      </c>
      <c r="B7" s="4" t="inlineStr">
        <is>
          <t>The Whole System</t>
        </is>
      </c>
      <c r="C7" s="4" t="inlineStr">
        <is>
          <t>bundle</t>
        </is>
      </c>
      <c r="D7" s="4" t="inlineStr">
        <is>
          <t>medical</t>
        </is>
      </c>
      <c r="E7" s="5" t="n">
        <v>2800</v>
      </c>
      <c r="F7" s="5" t="n">
        <v>1400</v>
      </c>
      <c r="G7" s="6" t="n">
        <v>400</v>
      </c>
      <c r="H7" s="4" t="inlineStr">
        <is>
          <t>minutes</t>
        </is>
      </c>
      <c r="I7" s="7" t="n">
        <v>0.55</v>
      </c>
      <c r="J7" s="5" t="n"/>
      <c r="K7" s="4" t="inlineStr">
        <is>
          <t>Yes</t>
        </is>
      </c>
      <c r="L7" s="4" t="inlineStr">
        <is>
          <t>In development</t>
        </is>
      </c>
    </row>
    <row r="8">
      <c r="A8" s="4" t="inlineStr">
        <is>
          <t>bundle_voice_home</t>
        </is>
      </c>
      <c r="B8" s="4" t="inlineStr">
        <is>
          <t>Complete Phone Cover</t>
        </is>
      </c>
      <c r="C8" s="4" t="inlineStr">
        <is>
          <t>bundle</t>
        </is>
      </c>
      <c r="D8" s="4" t="inlineStr">
        <is>
          <t>home_services</t>
        </is>
      </c>
      <c r="E8" s="5" t="n">
        <v>1100</v>
      </c>
      <c r="F8" s="5" t="n">
        <v>550</v>
      </c>
      <c r="G8" s="6" t="n">
        <v>700</v>
      </c>
      <c r="H8" s="4" t="inlineStr">
        <is>
          <t>minutes</t>
        </is>
      </c>
      <c r="I8" s="7" t="n">
        <v>0.45</v>
      </c>
      <c r="J8" s="5" t="n">
        <v>20</v>
      </c>
      <c r="K8" s="4" t="inlineStr"/>
      <c r="L8" s="4" t="inlineStr">
        <is>
          <t>In development</t>
        </is>
      </c>
    </row>
    <row r="9">
      <c r="A9" s="4" t="inlineStr">
        <is>
          <t>bundle_voice_law</t>
        </is>
      </c>
      <c r="B9" s="4" t="inlineStr">
        <is>
          <t>Complete Phone Cover</t>
        </is>
      </c>
      <c r="C9" s="4" t="inlineStr">
        <is>
          <t>bundle</t>
        </is>
      </c>
      <c r="D9" s="4" t="inlineStr">
        <is>
          <t>law_firm</t>
        </is>
      </c>
      <c r="E9" s="5" t="n">
        <v>2000</v>
      </c>
      <c r="F9" s="5" t="n">
        <v>900</v>
      </c>
      <c r="G9" s="6" t="n">
        <v>700</v>
      </c>
      <c r="H9" s="4" t="inlineStr">
        <is>
          <t>minutes</t>
        </is>
      </c>
      <c r="I9" s="7" t="n">
        <v>0.55</v>
      </c>
      <c r="J9" s="5" t="n">
        <v>35</v>
      </c>
      <c r="K9" s="4" t="inlineStr"/>
      <c r="L9" s="4" t="inlineStr">
        <is>
          <t>In development</t>
        </is>
      </c>
    </row>
    <row r="10">
      <c r="A10" s="4" t="inlineStr">
        <is>
          <t>bundle_recovery_home</t>
        </is>
      </c>
      <c r="B10" s="4" t="inlineStr">
        <is>
          <t>Complete Lead Recovery</t>
        </is>
      </c>
      <c r="C10" s="4" t="inlineStr">
        <is>
          <t>bundle</t>
        </is>
      </c>
      <c r="D10" s="4" t="inlineStr">
        <is>
          <t>home_services</t>
        </is>
      </c>
      <c r="E10" s="5" t="n">
        <v>1200</v>
      </c>
      <c r="F10" s="5" t="n">
        <v>650</v>
      </c>
      <c r="G10" s="6" t="n">
        <v>500</v>
      </c>
      <c r="H10" s="4" t="inlineStr">
        <is>
          <t>texts</t>
        </is>
      </c>
      <c r="I10" s="7" t="n">
        <v>0.05</v>
      </c>
      <c r="J10" s="5" t="n">
        <v>15</v>
      </c>
      <c r="K10" s="4" t="inlineStr"/>
      <c r="L10" s="4" t="inlineStr">
        <is>
          <t>In development</t>
        </is>
      </c>
    </row>
    <row r="11">
      <c r="A11" s="4" t="inlineStr">
        <is>
          <t>bundle_recovery_law</t>
        </is>
      </c>
      <c r="B11" s="4" t="inlineStr">
        <is>
          <t>Complete Lead Recovery</t>
        </is>
      </c>
      <c r="C11" s="4" t="inlineStr">
        <is>
          <t>bundle</t>
        </is>
      </c>
      <c r="D11" s="4" t="inlineStr">
        <is>
          <t>law_firm</t>
        </is>
      </c>
      <c r="E11" s="5" t="n">
        <v>2200</v>
      </c>
      <c r="F11" s="5" t="n">
        <v>1100</v>
      </c>
      <c r="G11" s="6" t="n">
        <v>500</v>
      </c>
      <c r="H11" s="4" t="inlineStr">
        <is>
          <t>texts</t>
        </is>
      </c>
      <c r="I11" s="7" t="n">
        <v>0.07000000000000001</v>
      </c>
      <c r="J11" s="5" t="n">
        <v>35</v>
      </c>
      <c r="K11" s="4" t="inlineStr"/>
      <c r="L11" s="4" t="inlineStr">
        <is>
          <t>In development</t>
        </is>
      </c>
    </row>
    <row r="12">
      <c r="A12" s="4" t="inlineStr">
        <is>
          <t>bundle_recovery_medical</t>
        </is>
      </c>
      <c r="B12" s="4" t="inlineStr">
        <is>
          <t>Complete Lead Recovery</t>
        </is>
      </c>
      <c r="C12" s="4" t="inlineStr">
        <is>
          <t>bundle</t>
        </is>
      </c>
      <c r="D12" s="4" t="inlineStr">
        <is>
          <t>medical</t>
        </is>
      </c>
      <c r="E12" s="5" t="n">
        <v>1600</v>
      </c>
      <c r="F12" s="5" t="n">
        <v>850</v>
      </c>
      <c r="G12" s="6" t="n">
        <v>500</v>
      </c>
      <c r="H12" s="4" t="inlineStr">
        <is>
          <t>texts</t>
        </is>
      </c>
      <c r="I12" s="7" t="n">
        <v>0.07000000000000001</v>
      </c>
      <c r="J12" s="5" t="n"/>
      <c r="K12" s="4" t="inlineStr">
        <is>
          <t>Yes</t>
        </is>
      </c>
      <c r="L12" s="4" t="inlineStr">
        <is>
          <t>In development</t>
        </is>
      </c>
    </row>
    <row r="13">
      <c r="A13" s="4" t="inlineStr">
        <is>
          <t>voice_reception_home</t>
        </is>
      </c>
      <c r="B13" s="4" t="inlineStr">
        <is>
          <t>AI Phone Agent</t>
        </is>
      </c>
      <c r="C13" s="4" t="inlineStr">
        <is>
          <t>voice</t>
        </is>
      </c>
      <c r="D13" s="4" t="inlineStr">
        <is>
          <t>home_services</t>
        </is>
      </c>
      <c r="E13" s="5" t="n">
        <v>750</v>
      </c>
      <c r="F13" s="5" t="n">
        <v>350</v>
      </c>
      <c r="G13" s="6" t="n">
        <v>400</v>
      </c>
      <c r="H13" s="4" t="inlineStr">
        <is>
          <t>min</t>
        </is>
      </c>
      <c r="I13" s="7" t="n">
        <v>0.45</v>
      </c>
      <c r="J13" s="5" t="n"/>
      <c r="K13" s="4" t="inlineStr"/>
      <c r="L13" s="4" t="inlineStr">
        <is>
          <t>Available now</t>
        </is>
      </c>
    </row>
    <row r="14">
      <c r="A14" s="4" t="inlineStr">
        <is>
          <t>voice_reception_law</t>
        </is>
      </c>
      <c r="B14" s="4" t="inlineStr">
        <is>
          <t>AI Intake Agent</t>
        </is>
      </c>
      <c r="C14" s="4" t="inlineStr">
        <is>
          <t>voice</t>
        </is>
      </c>
      <c r="D14" s="4" t="inlineStr">
        <is>
          <t>law_firm</t>
        </is>
      </c>
      <c r="E14" s="5" t="n">
        <v>1500</v>
      </c>
      <c r="F14" s="5" t="n">
        <v>650</v>
      </c>
      <c r="G14" s="6" t="n">
        <v>400</v>
      </c>
      <c r="H14" s="4" t="inlineStr">
        <is>
          <t>min</t>
        </is>
      </c>
      <c r="I14" s="7" t="n">
        <v>0.55</v>
      </c>
      <c r="J14" s="5" t="n">
        <v>35</v>
      </c>
      <c r="K14" s="4" t="inlineStr"/>
      <c r="L14" s="4" t="inlineStr">
        <is>
          <t>In development</t>
        </is>
      </c>
    </row>
    <row r="15">
      <c r="A15" s="4" t="inlineStr">
        <is>
          <t>voice_reception_medical</t>
        </is>
      </c>
      <c r="B15" s="4" t="inlineStr">
        <is>
          <t>AI Front-Desk Agent</t>
        </is>
      </c>
      <c r="C15" s="4" t="inlineStr">
        <is>
          <t>voice</t>
        </is>
      </c>
      <c r="D15" s="4" t="inlineStr">
        <is>
          <t>medical</t>
        </is>
      </c>
      <c r="E15" s="5" t="n">
        <v>1500</v>
      </c>
      <c r="F15" s="5" t="n">
        <v>650</v>
      </c>
      <c r="G15" s="6" t="n">
        <v>400</v>
      </c>
      <c r="H15" s="4" t="inlineStr">
        <is>
          <t>min</t>
        </is>
      </c>
      <c r="I15" s="7" t="n">
        <v>0.55</v>
      </c>
      <c r="J15" s="5" t="n"/>
      <c r="K15" s="4" t="inlineStr">
        <is>
          <t>Yes</t>
        </is>
      </c>
      <c r="L15" s="4" t="inlineStr">
        <is>
          <t>In development</t>
        </is>
      </c>
    </row>
    <row r="16">
      <c r="A16" s="4" t="inlineStr">
        <is>
          <t>voice_callback_home</t>
        </is>
      </c>
      <c r="B16" s="4" t="inlineStr">
        <is>
          <t>Instant Lead Callback</t>
        </is>
      </c>
      <c r="C16" s="4" t="inlineStr">
        <is>
          <t>voice</t>
        </is>
      </c>
      <c r="D16" s="4" t="inlineStr">
        <is>
          <t>home_services</t>
        </is>
      </c>
      <c r="E16" s="5" t="n">
        <v>500</v>
      </c>
      <c r="F16" s="5" t="n">
        <v>250</v>
      </c>
      <c r="G16" s="6" t="n">
        <v>300</v>
      </c>
      <c r="H16" s="4" t="inlineStr">
        <is>
          <t>min</t>
        </is>
      </c>
      <c r="I16" s="7" t="n">
        <v>0.45</v>
      </c>
      <c r="J16" s="5" t="n">
        <v>20</v>
      </c>
      <c r="K16" s="4" t="inlineStr"/>
      <c r="L16" s="4" t="inlineStr">
        <is>
          <t>In development</t>
        </is>
      </c>
    </row>
    <row r="17">
      <c r="A17" s="4" t="inlineStr">
        <is>
          <t>voice_callback_law</t>
        </is>
      </c>
      <c r="B17" s="4" t="inlineStr">
        <is>
          <t>Instant Lead Callback</t>
        </is>
      </c>
      <c r="C17" s="4" t="inlineStr">
        <is>
          <t>voice</t>
        </is>
      </c>
      <c r="D17" s="4" t="inlineStr">
        <is>
          <t>law_firm</t>
        </is>
      </c>
      <c r="E17" s="5" t="n">
        <v>1000</v>
      </c>
      <c r="F17" s="5" t="n">
        <v>450</v>
      </c>
      <c r="G17" s="6" t="n">
        <v>300</v>
      </c>
      <c r="H17" s="4" t="inlineStr">
        <is>
          <t>min</t>
        </is>
      </c>
      <c r="I17" s="7" t="n">
        <v>0.55</v>
      </c>
      <c r="J17" s="5" t="n">
        <v>35</v>
      </c>
      <c r="K17" s="4" t="inlineStr"/>
      <c r="L17" s="4" t="inlineStr">
        <is>
          <t>In development</t>
        </is>
      </c>
    </row>
    <row r="18">
      <c r="A18" s="4" t="inlineStr">
        <is>
          <t>voice_afterhours</t>
        </is>
      </c>
      <c r="B18" s="4" t="inlineStr">
        <is>
          <t>After-Hours Answering</t>
        </is>
      </c>
      <c r="C18" s="4" t="inlineStr">
        <is>
          <t>voice</t>
        </is>
      </c>
      <c r="D18" s="4" t="inlineStr">
        <is>
          <t>home_services, law_firm, medical</t>
        </is>
      </c>
      <c r="E18" s="5" t="n">
        <v>350</v>
      </c>
      <c r="F18" s="5" t="n">
        <v>175</v>
      </c>
      <c r="G18" s="6" t="n">
        <v>150</v>
      </c>
      <c r="H18" s="4" t="inlineStr">
        <is>
          <t>min</t>
        </is>
      </c>
      <c r="I18" s="7" t="n">
        <v>0.45</v>
      </c>
      <c r="J18" s="5" t="n"/>
      <c r="K18" s="4" t="inlineStr"/>
      <c r="L18" s="4" t="inlineStr">
        <is>
          <t>In development</t>
        </is>
      </c>
    </row>
    <row r="19">
      <c r="A19" s="4" t="inlineStr">
        <is>
          <t>voice_spanish</t>
        </is>
      </c>
      <c r="B19" s="4" t="inlineStr">
        <is>
          <t>Spanish-Speaking Agent</t>
        </is>
      </c>
      <c r="C19" s="4" t="inlineStr">
        <is>
          <t>voice</t>
        </is>
      </c>
      <c r="D19" s="4" t="inlineStr">
        <is>
          <t>home_services, law_firm, medical</t>
        </is>
      </c>
      <c r="E19" s="5" t="n">
        <v>250</v>
      </c>
      <c r="F19" s="5" t="n">
        <v>100</v>
      </c>
      <c r="G19" s="6" t="n"/>
      <c r="H19" s="4" t="inlineStr">
        <is>
          <t>min</t>
        </is>
      </c>
      <c r="I19" s="7" t="n"/>
      <c r="J19" s="5" t="n"/>
      <c r="K19" s="4" t="inlineStr"/>
      <c r="L19" s="4" t="inlineStr">
        <is>
          <t>In development</t>
        </is>
      </c>
    </row>
    <row r="20">
      <c r="A20" s="4" t="inlineStr">
        <is>
          <t>sms_reviews</t>
        </is>
      </c>
      <c r="B20" s="4" t="inlineStr">
        <is>
          <t>Review Requests</t>
        </is>
      </c>
      <c r="C20" s="4" t="inlineStr">
        <is>
          <t>messaging</t>
        </is>
      </c>
      <c r="D20" s="4" t="inlineStr">
        <is>
          <t>home_services, law_firm</t>
        </is>
      </c>
      <c r="E20" s="5" t="n">
        <v>250</v>
      </c>
      <c r="F20" s="5" t="n">
        <v>100</v>
      </c>
      <c r="G20" s="6" t="n"/>
      <c r="H20" s="4" t="inlineStr">
        <is>
          <t>min</t>
        </is>
      </c>
      <c r="I20" s="7" t="n"/>
      <c r="J20" s="5" t="n"/>
      <c r="K20" s="4" t="inlineStr"/>
      <c r="L20" s="4" t="inlineStr">
        <is>
          <t>In development</t>
        </is>
      </c>
    </row>
    <row r="21">
      <c r="A21" s="4" t="inlineStr">
        <is>
          <t>recover_missed_call_home</t>
        </is>
      </c>
      <c r="B21" s="4" t="inlineStr">
        <is>
          <t>Missed-Call Text-Back</t>
        </is>
      </c>
      <c r="C21" s="4" t="inlineStr">
        <is>
          <t>messaging</t>
        </is>
      </c>
      <c r="D21" s="4" t="inlineStr">
        <is>
          <t>home_services</t>
        </is>
      </c>
      <c r="E21" s="5" t="n">
        <v>500</v>
      </c>
      <c r="F21" s="5" t="n">
        <v>250</v>
      </c>
      <c r="G21" s="6" t="n">
        <v>500</v>
      </c>
      <c r="H21" s="4" t="inlineStr">
        <is>
          <t>texts</t>
        </is>
      </c>
      <c r="I21" s="7" t="n">
        <v>0.05</v>
      </c>
      <c r="J21" s="5" t="n">
        <v>15</v>
      </c>
      <c r="K21" s="4" t="inlineStr"/>
      <c r="L21" s="4" t="inlineStr">
        <is>
          <t>Available now</t>
        </is>
      </c>
    </row>
    <row r="22">
      <c r="A22" s="4" t="inlineStr">
        <is>
          <t>recover_missed_call_law</t>
        </is>
      </c>
      <c r="B22" s="4" t="inlineStr">
        <is>
          <t>Missed-Call Text-Back</t>
        </is>
      </c>
      <c r="C22" s="4" t="inlineStr">
        <is>
          <t>messaging</t>
        </is>
      </c>
      <c r="D22" s="4" t="inlineStr">
        <is>
          <t>law_firm</t>
        </is>
      </c>
      <c r="E22" s="5" t="n">
        <v>900</v>
      </c>
      <c r="F22" s="5" t="n">
        <v>450</v>
      </c>
      <c r="G22" s="6" t="n">
        <v>500</v>
      </c>
      <c r="H22" s="4" t="inlineStr">
        <is>
          <t>texts</t>
        </is>
      </c>
      <c r="I22" s="7" t="n">
        <v>0.07000000000000001</v>
      </c>
      <c r="J22" s="5" t="n">
        <v>35</v>
      </c>
      <c r="K22" s="4" t="inlineStr"/>
      <c r="L22" s="4" t="inlineStr">
        <is>
          <t>Available now</t>
        </is>
      </c>
    </row>
    <row r="23">
      <c r="A23" s="4" t="inlineStr">
        <is>
          <t>recover_missed_call_medical</t>
        </is>
      </c>
      <c r="B23" s="4" t="inlineStr">
        <is>
          <t>Missed-Call Text-Back</t>
        </is>
      </c>
      <c r="C23" s="4" t="inlineStr">
        <is>
          <t>messaging</t>
        </is>
      </c>
      <c r="D23" s="4" t="inlineStr">
        <is>
          <t>medical</t>
        </is>
      </c>
      <c r="E23" s="5" t="n">
        <v>650</v>
      </c>
      <c r="F23" s="5" t="n">
        <v>325</v>
      </c>
      <c r="G23" s="6" t="n">
        <v>500</v>
      </c>
      <c r="H23" s="4" t="inlineStr">
        <is>
          <t>texts</t>
        </is>
      </c>
      <c r="I23" s="7" t="n">
        <v>0.07000000000000001</v>
      </c>
      <c r="J23" s="5" t="n"/>
      <c r="K23" s="4" t="inlineStr">
        <is>
          <t>Yes</t>
        </is>
      </c>
      <c r="L23" s="4" t="inlineStr">
        <is>
          <t>Available now</t>
        </is>
      </c>
    </row>
    <row r="24">
      <c r="A24" s="4" t="inlineStr">
        <is>
          <t>after_hours_intake_home</t>
        </is>
      </c>
      <c r="B24" s="4" t="inlineStr">
        <is>
          <t>After-Hours Intake</t>
        </is>
      </c>
      <c r="C24" s="4" t="inlineStr">
        <is>
          <t>messaging</t>
        </is>
      </c>
      <c r="D24" s="4" t="inlineStr">
        <is>
          <t>home_services</t>
        </is>
      </c>
      <c r="E24" s="5" t="n">
        <v>400</v>
      </c>
      <c r="F24" s="5" t="n">
        <v>200</v>
      </c>
      <c r="G24" s="6" t="n"/>
      <c r="H24" s="4" t="inlineStr">
        <is>
          <t>texts</t>
        </is>
      </c>
      <c r="I24" s="7" t="n"/>
      <c r="J24" s="5" t="n">
        <v>15</v>
      </c>
      <c r="K24" s="4" t="inlineStr"/>
      <c r="L24" s="4" t="inlineStr">
        <is>
          <t>Available now</t>
        </is>
      </c>
    </row>
    <row r="25">
      <c r="A25" s="4" t="inlineStr">
        <is>
          <t>after_hours_intake_law</t>
        </is>
      </c>
      <c r="B25" s="4" t="inlineStr">
        <is>
          <t>After-Hours Intake</t>
        </is>
      </c>
      <c r="C25" s="4" t="inlineStr">
        <is>
          <t>messaging</t>
        </is>
      </c>
      <c r="D25" s="4" t="inlineStr">
        <is>
          <t>law_firm</t>
        </is>
      </c>
      <c r="E25" s="5" t="n">
        <v>750</v>
      </c>
      <c r="F25" s="5" t="n">
        <v>350</v>
      </c>
      <c r="G25" s="6" t="n"/>
      <c r="H25" s="4" t="inlineStr">
        <is>
          <t>texts</t>
        </is>
      </c>
      <c r="I25" s="7" t="n"/>
      <c r="J25" s="5" t="n">
        <v>35</v>
      </c>
      <c r="K25" s="4" t="inlineStr"/>
      <c r="L25" s="4" t="inlineStr">
        <is>
          <t>Available now</t>
        </is>
      </c>
    </row>
    <row r="26">
      <c r="A26" s="4" t="inlineStr">
        <is>
          <t>after_hours_intake_medical</t>
        </is>
      </c>
      <c r="B26" s="4" t="inlineStr">
        <is>
          <t>After-Hours Intake</t>
        </is>
      </c>
      <c r="C26" s="4" t="inlineStr">
        <is>
          <t>messaging</t>
        </is>
      </c>
      <c r="D26" s="4" t="inlineStr">
        <is>
          <t>medical</t>
        </is>
      </c>
      <c r="E26" s="5" t="n">
        <v>550</v>
      </c>
      <c r="F26" s="5" t="n">
        <v>275</v>
      </c>
      <c r="G26" s="6" t="n"/>
      <c r="H26" s="4" t="inlineStr">
        <is>
          <t>texts</t>
        </is>
      </c>
      <c r="I26" s="7" t="n"/>
      <c r="J26" s="5" t="n"/>
      <c r="K26" s="4" t="inlineStr">
        <is>
          <t>Yes</t>
        </is>
      </c>
      <c r="L26" s="4" t="inlineStr">
        <is>
          <t>Available now</t>
        </is>
      </c>
    </row>
    <row r="27">
      <c r="A27" s="4" t="inlineStr">
        <is>
          <t>nurture_home</t>
        </is>
      </c>
      <c r="B27" s="4" t="inlineStr">
        <is>
          <t>Lead Nurture Sequences</t>
        </is>
      </c>
      <c r="C27" s="4" t="inlineStr">
        <is>
          <t>messaging</t>
        </is>
      </c>
      <c r="D27" s="4" t="inlineStr">
        <is>
          <t>home_services</t>
        </is>
      </c>
      <c r="E27" s="5" t="n">
        <v>500</v>
      </c>
      <c r="F27" s="5" t="n">
        <v>225</v>
      </c>
      <c r="G27" s="6" t="n"/>
      <c r="H27" s="4" t="inlineStr">
        <is>
          <t>texts</t>
        </is>
      </c>
      <c r="I27" s="7" t="n"/>
      <c r="J27" s="5" t="n">
        <v>15</v>
      </c>
      <c r="K27" s="4" t="inlineStr"/>
      <c r="L27" s="4" t="inlineStr">
        <is>
          <t>In development</t>
        </is>
      </c>
    </row>
    <row r="28">
      <c r="A28" s="4" t="inlineStr">
        <is>
          <t>nurture_law</t>
        </is>
      </c>
      <c r="B28" s="4" t="inlineStr">
        <is>
          <t>Lead Nurture Sequences</t>
        </is>
      </c>
      <c r="C28" s="4" t="inlineStr">
        <is>
          <t>messaging</t>
        </is>
      </c>
      <c r="D28" s="4" t="inlineStr">
        <is>
          <t>law_firm</t>
        </is>
      </c>
      <c r="E28" s="5" t="n">
        <v>900</v>
      </c>
      <c r="F28" s="5" t="n">
        <v>400</v>
      </c>
      <c r="G28" s="6" t="n"/>
      <c r="H28" s="4" t="inlineStr">
        <is>
          <t>texts</t>
        </is>
      </c>
      <c r="I28" s="7" t="n"/>
      <c r="J28" s="5" t="n">
        <v>35</v>
      </c>
      <c r="K28" s="4" t="inlineStr"/>
      <c r="L28" s="4" t="inlineStr">
        <is>
          <t>In development</t>
        </is>
      </c>
    </row>
    <row r="29">
      <c r="A29" s="4" t="inlineStr">
        <is>
          <t>nurture_medical</t>
        </is>
      </c>
      <c r="B29" s="4" t="inlineStr">
        <is>
          <t>Recall &amp; Reactivation</t>
        </is>
      </c>
      <c r="C29" s="4" t="inlineStr">
        <is>
          <t>messaging</t>
        </is>
      </c>
      <c r="D29" s="4" t="inlineStr">
        <is>
          <t>medical</t>
        </is>
      </c>
      <c r="E29" s="5" t="n">
        <v>500</v>
      </c>
      <c r="F29" s="5" t="n">
        <v>250</v>
      </c>
      <c r="G29" s="6" t="n"/>
      <c r="H29" s="4" t="inlineStr">
        <is>
          <t>texts</t>
        </is>
      </c>
      <c r="I29" s="7" t="n"/>
      <c r="J29" s="5" t="n"/>
      <c r="K29" s="4" t="inlineStr">
        <is>
          <t>Yes</t>
        </is>
      </c>
      <c r="L29" s="4" t="inlineStr">
        <is>
          <t>In development</t>
        </is>
      </c>
    </row>
    <row r="30">
      <c r="A30" s="4" t="inlineStr">
        <is>
          <t>reminders_home</t>
        </is>
      </c>
      <c r="B30" s="4" t="inlineStr">
        <is>
          <t>Reminders &amp; No-Show Recovery</t>
        </is>
      </c>
      <c r="C30" s="4" t="inlineStr">
        <is>
          <t>messaging</t>
        </is>
      </c>
      <c r="D30" s="4" t="inlineStr">
        <is>
          <t>home_services</t>
        </is>
      </c>
      <c r="E30" s="5" t="n">
        <v>350</v>
      </c>
      <c r="F30" s="5" t="n">
        <v>175</v>
      </c>
      <c r="G30" s="6" t="n"/>
      <c r="H30" s="4" t="inlineStr">
        <is>
          <t>texts</t>
        </is>
      </c>
      <c r="I30" s="7" t="n"/>
      <c r="J30" s="5" t="n"/>
      <c r="K30" s="4" t="inlineStr"/>
      <c r="L30" s="4" t="inlineStr">
        <is>
          <t>In development</t>
        </is>
      </c>
    </row>
    <row r="31">
      <c r="A31" s="4" t="inlineStr">
        <is>
          <t>reminders_law</t>
        </is>
      </c>
      <c r="B31" s="4" t="inlineStr">
        <is>
          <t>Reminders &amp; No-Show Recovery</t>
        </is>
      </c>
      <c r="C31" s="4" t="inlineStr">
        <is>
          <t>messaging</t>
        </is>
      </c>
      <c r="D31" s="4" t="inlineStr">
        <is>
          <t>law_firm</t>
        </is>
      </c>
      <c r="E31" s="5" t="n">
        <v>600</v>
      </c>
      <c r="F31" s="5" t="n">
        <v>300</v>
      </c>
      <c r="G31" s="6" t="n"/>
      <c r="H31" s="4" t="inlineStr">
        <is>
          <t>texts</t>
        </is>
      </c>
      <c r="I31" s="7" t="n"/>
      <c r="J31" s="5" t="n"/>
      <c r="K31" s="4" t="inlineStr"/>
      <c r="L31" s="4" t="inlineStr">
        <is>
          <t>In development</t>
        </is>
      </c>
    </row>
    <row r="32">
      <c r="A32" s="4" t="inlineStr">
        <is>
          <t>reminders_medical</t>
        </is>
      </c>
      <c r="B32" s="4" t="inlineStr">
        <is>
          <t>Reminders &amp; No-Show Recovery</t>
        </is>
      </c>
      <c r="C32" s="4" t="inlineStr">
        <is>
          <t>messaging</t>
        </is>
      </c>
      <c r="D32" s="4" t="inlineStr">
        <is>
          <t>medical</t>
        </is>
      </c>
      <c r="E32" s="5" t="n">
        <v>450</v>
      </c>
      <c r="F32" s="5" t="n">
        <v>225</v>
      </c>
      <c r="G32" s="6" t="n"/>
      <c r="H32" s="4" t="inlineStr">
        <is>
          <t>texts</t>
        </is>
      </c>
      <c r="I32" s="7" t="n"/>
      <c r="J32" s="5" t="n"/>
      <c r="K32" s="4" t="inlineStr">
        <is>
          <t>Yes</t>
        </is>
      </c>
      <c r="L32" s="4" t="inlineStr">
        <is>
          <t>In development</t>
        </is>
      </c>
    </row>
    <row r="34">
      <c r="A34" s="8" t="inlineStr">
        <is>
          <t>Healthcare rows carry no per-lead fee by design — per-patient compensation can implicate anti-kickback and fee-splitting rules. The database constraint sanaku_addons_pricing_legal rejects one, so it cannot be entered by mistake.</t>
        </is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3" customWidth="1" min="3" max="3"/>
    <col width="13" customWidth="1" min="4" max="4"/>
    <col width="40" customWidth="1" min="5" max="5"/>
    <col width="4" customWidth="1" min="6" max="6"/>
    <col width="4" customWidth="1" min="7" max="7"/>
  </cols>
  <sheetData>
    <row r="1">
      <c r="A1" s="1" t="inlineStr">
        <is>
          <t>What each package contains, and what it saves</t>
        </is>
      </c>
    </row>
    <row r="2">
      <c r="A2" s="2" t="inlineStr">
        <is>
          <t>Every number on this tab is a formula reading All Services. Change a member's price there and the package saving here recalculates.</t>
        </is>
      </c>
    </row>
    <row r="4">
      <c r="A4" s="3" t="inlineStr">
        <is>
          <t>Package / part</t>
        </is>
      </c>
      <c r="B4" s="3" t="inlineStr">
        <is>
          <t>Code</t>
        </is>
      </c>
      <c r="C4" s="3" t="inlineStr">
        <is>
          <t>Setup</t>
        </is>
      </c>
      <c r="D4" s="3" t="inlineStr">
        <is>
          <t>Monthly</t>
        </is>
      </c>
      <c r="E4" s="3" t="inlineStr">
        <is>
          <t>Note</t>
        </is>
      </c>
      <c r="F4" s="3" t="inlineStr"/>
      <c r="G4" s="3" t="inlineStr"/>
    </row>
    <row r="5">
      <c r="A5" s="9" t="inlineStr">
        <is>
          <t>The Whole System  —  home_services</t>
        </is>
      </c>
      <c r="B5" s="2" t="inlineStr">
        <is>
          <t>bundle_complete_home</t>
        </is>
      </c>
      <c r="C5" s="10">
        <f>'All Services'!E5</f>
        <v/>
      </c>
      <c r="D5" s="10">
        <f>'All Services'!F5</f>
        <v/>
      </c>
      <c r="E5" s="11" t="inlineStr">
        <is>
          <t>In development</t>
        </is>
      </c>
    </row>
    <row r="6">
      <c r="A6" s="11" t="inlineStr">
        <is>
          <t xml:space="preserve">    AI Phone Agent</t>
        </is>
      </c>
      <c r="B6" s="2" t="inlineStr">
        <is>
          <t>voice_reception_home</t>
        </is>
      </c>
      <c r="C6" s="12">
        <f>'All Services'!E13</f>
        <v/>
      </c>
      <c r="D6" s="12">
        <f>'All Services'!F13</f>
        <v/>
      </c>
    </row>
    <row r="7">
      <c r="A7" s="11" t="inlineStr">
        <is>
          <t xml:space="preserve">    Instant Lead Callback</t>
        </is>
      </c>
      <c r="B7" s="2" t="inlineStr">
        <is>
          <t>voice_callback_home</t>
        </is>
      </c>
      <c r="C7" s="12">
        <f>'All Services'!E16</f>
        <v/>
      </c>
      <c r="D7" s="12">
        <f>'All Services'!F16</f>
        <v/>
      </c>
    </row>
    <row r="8">
      <c r="A8" s="11" t="inlineStr">
        <is>
          <t xml:space="preserve">    Spanish-Speaking Agent</t>
        </is>
      </c>
      <c r="B8" s="2" t="inlineStr">
        <is>
          <t>voice_spanish</t>
        </is>
      </c>
      <c r="C8" s="12">
        <f>'All Services'!E19</f>
        <v/>
      </c>
      <c r="D8" s="12">
        <f>'All Services'!F19</f>
        <v/>
      </c>
    </row>
    <row r="9">
      <c r="A9" s="11" t="inlineStr">
        <is>
          <t xml:space="preserve">    Review Requests</t>
        </is>
      </c>
      <c r="B9" s="2" t="inlineStr">
        <is>
          <t>sms_reviews</t>
        </is>
      </c>
      <c r="C9" s="12">
        <f>'All Services'!E20</f>
        <v/>
      </c>
      <c r="D9" s="12">
        <f>'All Services'!F20</f>
        <v/>
      </c>
    </row>
    <row r="10">
      <c r="A10" s="11" t="inlineStr">
        <is>
          <t xml:space="preserve">    Missed-Call Text-Back</t>
        </is>
      </c>
      <c r="B10" s="2" t="inlineStr">
        <is>
          <t>recover_missed_call_home</t>
        </is>
      </c>
      <c r="C10" s="12">
        <f>'All Services'!E21</f>
        <v/>
      </c>
      <c r="D10" s="12">
        <f>'All Services'!F21</f>
        <v/>
      </c>
    </row>
    <row r="11">
      <c r="A11" s="11" t="inlineStr">
        <is>
          <t xml:space="preserve">    After-Hours Intake</t>
        </is>
      </c>
      <c r="B11" s="2" t="inlineStr">
        <is>
          <t>after_hours_intake_home</t>
        </is>
      </c>
      <c r="C11" s="12">
        <f>'All Services'!E24</f>
        <v/>
      </c>
      <c r="D11" s="12">
        <f>'All Services'!F24</f>
        <v/>
      </c>
    </row>
    <row r="12">
      <c r="A12" s="11" t="inlineStr">
        <is>
          <t xml:space="preserve">    Lead Nurture Sequences</t>
        </is>
      </c>
      <c r="B12" s="2" t="inlineStr">
        <is>
          <t>nurture_home</t>
        </is>
      </c>
      <c r="C12" s="12">
        <f>'All Services'!E27</f>
        <v/>
      </c>
      <c r="D12" s="12">
        <f>'All Services'!F27</f>
        <v/>
      </c>
    </row>
    <row r="13">
      <c r="A13" s="11" t="inlineStr">
        <is>
          <t xml:space="preserve">    Reminders &amp; No-Show Recovery</t>
        </is>
      </c>
      <c r="B13" s="2" t="inlineStr">
        <is>
          <t>reminders_home</t>
        </is>
      </c>
      <c r="C13" s="12">
        <f>'All Services'!E30</f>
        <v/>
      </c>
      <c r="D13" s="12">
        <f>'All Services'!F30</f>
        <v/>
      </c>
    </row>
    <row r="14">
      <c r="A14" s="11" t="inlineStr">
        <is>
          <t xml:space="preserve">    Bought separately</t>
        </is>
      </c>
      <c r="C14" s="12">
        <f>SUM(C6:C13)</f>
        <v/>
      </c>
      <c r="D14" s="12">
        <f>SUM(D6:D13)</f>
        <v/>
      </c>
    </row>
    <row r="15">
      <c r="A15" s="13" t="inlineStr">
        <is>
          <t xml:space="preserve">    You save</t>
        </is>
      </c>
      <c r="C15" s="10">
        <f>C14-C5</f>
        <v/>
      </c>
      <c r="D15" s="10">
        <f>D14-D5</f>
        <v/>
      </c>
      <c r="E15" s="14">
        <f>IF(C14=0,0,(C14-C5)/C14)</f>
        <v/>
      </c>
      <c r="F15" s="14">
        <f>IF(D14=0,0,(D14-D5)/D14)</f>
        <v/>
      </c>
    </row>
    <row r="16"/>
    <row r="17">
      <c r="A17" s="9" t="inlineStr">
        <is>
          <t>The Whole System  —  law_firm</t>
        </is>
      </c>
      <c r="B17" s="2" t="inlineStr">
        <is>
          <t>bundle_complete_law</t>
        </is>
      </c>
      <c r="C17" s="10">
        <f>'All Services'!E6</f>
        <v/>
      </c>
      <c r="D17" s="10">
        <f>'All Services'!F6</f>
        <v/>
      </c>
      <c r="E17" s="11" t="inlineStr">
        <is>
          <t>In development</t>
        </is>
      </c>
    </row>
    <row r="18">
      <c r="A18" s="11" t="inlineStr">
        <is>
          <t xml:space="preserve">    AI Intake Agent</t>
        </is>
      </c>
      <c r="B18" s="2" t="inlineStr">
        <is>
          <t>voice_reception_law</t>
        </is>
      </c>
      <c r="C18" s="12">
        <f>'All Services'!E14</f>
        <v/>
      </c>
      <c r="D18" s="12">
        <f>'All Services'!F14</f>
        <v/>
      </c>
    </row>
    <row r="19">
      <c r="A19" s="11" t="inlineStr">
        <is>
          <t xml:space="preserve">    Instant Lead Callback</t>
        </is>
      </c>
      <c r="B19" s="2" t="inlineStr">
        <is>
          <t>voice_callback_law</t>
        </is>
      </c>
      <c r="C19" s="12">
        <f>'All Services'!E17</f>
        <v/>
      </c>
      <c r="D19" s="12">
        <f>'All Services'!F17</f>
        <v/>
      </c>
    </row>
    <row r="20">
      <c r="A20" s="11" t="inlineStr">
        <is>
          <t xml:space="preserve">    Spanish-Speaking Agent</t>
        </is>
      </c>
      <c r="B20" s="2" t="inlineStr">
        <is>
          <t>voice_spanish</t>
        </is>
      </c>
      <c r="C20" s="12">
        <f>'All Services'!E19</f>
        <v/>
      </c>
      <c r="D20" s="12">
        <f>'All Services'!F19</f>
        <v/>
      </c>
    </row>
    <row r="21">
      <c r="A21" s="11" t="inlineStr">
        <is>
          <t xml:space="preserve">    Review Requests</t>
        </is>
      </c>
      <c r="B21" s="2" t="inlineStr">
        <is>
          <t>sms_reviews</t>
        </is>
      </c>
      <c r="C21" s="12">
        <f>'All Services'!E20</f>
        <v/>
      </c>
      <c r="D21" s="12">
        <f>'All Services'!F20</f>
        <v/>
      </c>
    </row>
    <row r="22">
      <c r="A22" s="11" t="inlineStr">
        <is>
          <t xml:space="preserve">    Missed-Call Text-Back</t>
        </is>
      </c>
      <c r="B22" s="2" t="inlineStr">
        <is>
          <t>recover_missed_call_law</t>
        </is>
      </c>
      <c r="C22" s="12">
        <f>'All Services'!E22</f>
        <v/>
      </c>
      <c r="D22" s="12">
        <f>'All Services'!F22</f>
        <v/>
      </c>
    </row>
    <row r="23">
      <c r="A23" s="11" t="inlineStr">
        <is>
          <t xml:space="preserve">    After-Hours Intake</t>
        </is>
      </c>
      <c r="B23" s="2" t="inlineStr">
        <is>
          <t>after_hours_intake_law</t>
        </is>
      </c>
      <c r="C23" s="12">
        <f>'All Services'!E25</f>
        <v/>
      </c>
      <c r="D23" s="12">
        <f>'All Services'!F25</f>
        <v/>
      </c>
    </row>
    <row r="24">
      <c r="A24" s="11" t="inlineStr">
        <is>
          <t xml:space="preserve">    Lead Nurture Sequences</t>
        </is>
      </c>
      <c r="B24" s="2" t="inlineStr">
        <is>
          <t>nurture_law</t>
        </is>
      </c>
      <c r="C24" s="12">
        <f>'All Services'!E28</f>
        <v/>
      </c>
      <c r="D24" s="12">
        <f>'All Services'!F28</f>
        <v/>
      </c>
    </row>
    <row r="25">
      <c r="A25" s="11" t="inlineStr">
        <is>
          <t xml:space="preserve">    Reminders &amp; No-Show Recovery</t>
        </is>
      </c>
      <c r="B25" s="2" t="inlineStr">
        <is>
          <t>reminders_law</t>
        </is>
      </c>
      <c r="C25" s="12">
        <f>'All Services'!E31</f>
        <v/>
      </c>
      <c r="D25" s="12">
        <f>'All Services'!F31</f>
        <v/>
      </c>
    </row>
    <row r="26">
      <c r="A26" s="11" t="inlineStr">
        <is>
          <t xml:space="preserve">    Bought separately</t>
        </is>
      </c>
      <c r="C26" s="12">
        <f>SUM(C18:C25)</f>
        <v/>
      </c>
      <c r="D26" s="12">
        <f>SUM(D18:D25)</f>
        <v/>
      </c>
    </row>
    <row r="27">
      <c r="A27" s="13" t="inlineStr">
        <is>
          <t xml:space="preserve">    You save</t>
        </is>
      </c>
      <c r="C27" s="10">
        <f>C26-C17</f>
        <v/>
      </c>
      <c r="D27" s="10">
        <f>D26-D17</f>
        <v/>
      </c>
      <c r="E27" s="14">
        <f>IF(C26=0,0,(C26-C17)/C26)</f>
        <v/>
      </c>
      <c r="F27" s="14">
        <f>IF(D26=0,0,(D26-D17)/D26)</f>
        <v/>
      </c>
    </row>
    <row r="28"/>
    <row r="29">
      <c r="A29" s="9" t="inlineStr">
        <is>
          <t>The Whole System  —  medical</t>
        </is>
      </c>
      <c r="B29" s="2" t="inlineStr">
        <is>
          <t>bundle_complete_medical</t>
        </is>
      </c>
      <c r="C29" s="10">
        <f>'All Services'!E7</f>
        <v/>
      </c>
      <c r="D29" s="10">
        <f>'All Services'!F7</f>
        <v/>
      </c>
      <c r="E29" s="11" t="inlineStr">
        <is>
          <t>In development</t>
        </is>
      </c>
    </row>
    <row r="30">
      <c r="A30" s="11" t="inlineStr">
        <is>
          <t xml:space="preserve">    AI Front-Desk Agent</t>
        </is>
      </c>
      <c r="B30" s="2" t="inlineStr">
        <is>
          <t>voice_reception_medical</t>
        </is>
      </c>
      <c r="C30" s="12">
        <f>'All Services'!E15</f>
        <v/>
      </c>
      <c r="D30" s="12">
        <f>'All Services'!F15</f>
        <v/>
      </c>
    </row>
    <row r="31">
      <c r="A31" s="11" t="inlineStr">
        <is>
          <t xml:space="preserve">    Spanish-Speaking Agent</t>
        </is>
      </c>
      <c r="B31" s="2" t="inlineStr">
        <is>
          <t>voice_spanish</t>
        </is>
      </c>
      <c r="C31" s="12">
        <f>'All Services'!E19</f>
        <v/>
      </c>
      <c r="D31" s="12">
        <f>'All Services'!F19</f>
        <v/>
      </c>
    </row>
    <row r="32">
      <c r="A32" s="11" t="inlineStr">
        <is>
          <t xml:space="preserve">    Missed-Call Text-Back</t>
        </is>
      </c>
      <c r="B32" s="2" t="inlineStr">
        <is>
          <t>recover_missed_call_medical</t>
        </is>
      </c>
      <c r="C32" s="12">
        <f>'All Services'!E23</f>
        <v/>
      </c>
      <c r="D32" s="12">
        <f>'All Services'!F23</f>
        <v/>
      </c>
    </row>
    <row r="33">
      <c r="A33" s="11" t="inlineStr">
        <is>
          <t xml:space="preserve">    After-Hours Intake</t>
        </is>
      </c>
      <c r="B33" s="2" t="inlineStr">
        <is>
          <t>after_hours_intake_medical</t>
        </is>
      </c>
      <c r="C33" s="12">
        <f>'All Services'!E26</f>
        <v/>
      </c>
      <c r="D33" s="12">
        <f>'All Services'!F26</f>
        <v/>
      </c>
    </row>
    <row r="34">
      <c r="A34" s="11" t="inlineStr">
        <is>
          <t xml:space="preserve">    Recall &amp; Reactivation</t>
        </is>
      </c>
      <c r="B34" s="2" t="inlineStr">
        <is>
          <t>nurture_medical</t>
        </is>
      </c>
      <c r="C34" s="12">
        <f>'All Services'!E29</f>
        <v/>
      </c>
      <c r="D34" s="12">
        <f>'All Services'!F29</f>
        <v/>
      </c>
    </row>
    <row r="35">
      <c r="A35" s="11" t="inlineStr">
        <is>
          <t xml:space="preserve">    Reminders &amp; No-Show Recovery</t>
        </is>
      </c>
      <c r="B35" s="2" t="inlineStr">
        <is>
          <t>reminders_medical</t>
        </is>
      </c>
      <c r="C35" s="12">
        <f>'All Services'!E32</f>
        <v/>
      </c>
      <c r="D35" s="12">
        <f>'All Services'!F32</f>
        <v/>
      </c>
    </row>
    <row r="36">
      <c r="A36" s="11" t="inlineStr">
        <is>
          <t xml:space="preserve">    Bought separately</t>
        </is>
      </c>
      <c r="C36" s="12">
        <f>SUM(C30:C35)</f>
        <v/>
      </c>
      <c r="D36" s="12">
        <f>SUM(D30:D35)</f>
        <v/>
      </c>
    </row>
    <row r="37">
      <c r="A37" s="13" t="inlineStr">
        <is>
          <t xml:space="preserve">    You save</t>
        </is>
      </c>
      <c r="C37" s="10">
        <f>C36-C29</f>
        <v/>
      </c>
      <c r="D37" s="10">
        <f>D36-D29</f>
        <v/>
      </c>
      <c r="E37" s="14">
        <f>IF(C36=0,0,(C36-C29)/C36)</f>
        <v/>
      </c>
      <c r="F37" s="14">
        <f>IF(D36=0,0,(D36-D29)/D36)</f>
        <v/>
      </c>
    </row>
    <row r="38"/>
    <row r="39">
      <c r="A39" s="9" t="inlineStr">
        <is>
          <t>Complete Phone Cover  —  home_services</t>
        </is>
      </c>
      <c r="B39" s="2" t="inlineStr">
        <is>
          <t>bundle_voice_home</t>
        </is>
      </c>
      <c r="C39" s="10">
        <f>'All Services'!E8</f>
        <v/>
      </c>
      <c r="D39" s="10">
        <f>'All Services'!F8</f>
        <v/>
      </c>
      <c r="E39" s="11" t="inlineStr">
        <is>
          <t>In development</t>
        </is>
      </c>
    </row>
    <row r="40">
      <c r="A40" s="11" t="inlineStr">
        <is>
          <t xml:space="preserve">    AI Phone Agent</t>
        </is>
      </c>
      <c r="B40" s="2" t="inlineStr">
        <is>
          <t>voice_reception_home</t>
        </is>
      </c>
      <c r="C40" s="12">
        <f>'All Services'!E13</f>
        <v/>
      </c>
      <c r="D40" s="12">
        <f>'All Services'!F13</f>
        <v/>
      </c>
    </row>
    <row r="41">
      <c r="A41" s="11" t="inlineStr">
        <is>
          <t xml:space="preserve">    Instant Lead Callback</t>
        </is>
      </c>
      <c r="B41" s="2" t="inlineStr">
        <is>
          <t>voice_callback_home</t>
        </is>
      </c>
      <c r="C41" s="12">
        <f>'All Services'!E16</f>
        <v/>
      </c>
      <c r="D41" s="12">
        <f>'All Services'!F16</f>
        <v/>
      </c>
    </row>
    <row r="42">
      <c r="A42" s="11" t="inlineStr">
        <is>
          <t xml:space="preserve">    Spanish-Speaking Agent</t>
        </is>
      </c>
      <c r="B42" s="2" t="inlineStr">
        <is>
          <t>voice_spanish</t>
        </is>
      </c>
      <c r="C42" s="12">
        <f>'All Services'!E19</f>
        <v/>
      </c>
      <c r="D42" s="12">
        <f>'All Services'!F19</f>
        <v/>
      </c>
    </row>
    <row r="43">
      <c r="A43" s="11" t="inlineStr">
        <is>
          <t xml:space="preserve">    Bought separately</t>
        </is>
      </c>
      <c r="C43" s="12">
        <f>SUM(C40:C42)</f>
        <v/>
      </c>
      <c r="D43" s="12">
        <f>SUM(D40:D42)</f>
        <v/>
      </c>
    </row>
    <row r="44">
      <c r="A44" s="13" t="inlineStr">
        <is>
          <t xml:space="preserve">    You save</t>
        </is>
      </c>
      <c r="C44" s="10">
        <f>C43-C39</f>
        <v/>
      </c>
      <c r="D44" s="10">
        <f>D43-D39</f>
        <v/>
      </c>
      <c r="E44" s="14">
        <f>IF(C43=0,0,(C43-C39)/C43)</f>
        <v/>
      </c>
      <c r="F44" s="14">
        <f>IF(D43=0,0,(D43-D39)/D43)</f>
        <v/>
      </c>
    </row>
    <row r="45"/>
    <row r="46">
      <c r="A46" s="9" t="inlineStr">
        <is>
          <t>Complete Phone Cover  —  law_firm</t>
        </is>
      </c>
      <c r="B46" s="2" t="inlineStr">
        <is>
          <t>bundle_voice_law</t>
        </is>
      </c>
      <c r="C46" s="10">
        <f>'All Services'!E9</f>
        <v/>
      </c>
      <c r="D46" s="10">
        <f>'All Services'!F9</f>
        <v/>
      </c>
      <c r="E46" s="11" t="inlineStr">
        <is>
          <t>In development</t>
        </is>
      </c>
    </row>
    <row r="47">
      <c r="A47" s="11" t="inlineStr">
        <is>
          <t xml:space="preserve">    AI Intake Agent</t>
        </is>
      </c>
      <c r="B47" s="2" t="inlineStr">
        <is>
          <t>voice_reception_law</t>
        </is>
      </c>
      <c r="C47" s="12">
        <f>'All Services'!E14</f>
        <v/>
      </c>
      <c r="D47" s="12">
        <f>'All Services'!F14</f>
        <v/>
      </c>
    </row>
    <row r="48">
      <c r="A48" s="11" t="inlineStr">
        <is>
          <t xml:space="preserve">    Instant Lead Callback</t>
        </is>
      </c>
      <c r="B48" s="2" t="inlineStr">
        <is>
          <t>voice_callback_law</t>
        </is>
      </c>
      <c r="C48" s="12">
        <f>'All Services'!E17</f>
        <v/>
      </c>
      <c r="D48" s="12">
        <f>'All Services'!F17</f>
        <v/>
      </c>
    </row>
    <row r="49">
      <c r="A49" s="11" t="inlineStr">
        <is>
          <t xml:space="preserve">    Spanish-Speaking Agent</t>
        </is>
      </c>
      <c r="B49" s="2" t="inlineStr">
        <is>
          <t>voice_spanish</t>
        </is>
      </c>
      <c r="C49" s="12">
        <f>'All Services'!E19</f>
        <v/>
      </c>
      <c r="D49" s="12">
        <f>'All Services'!F19</f>
        <v/>
      </c>
    </row>
    <row r="50">
      <c r="A50" s="11" t="inlineStr">
        <is>
          <t xml:space="preserve">    Bought separately</t>
        </is>
      </c>
      <c r="C50" s="12">
        <f>SUM(C47:C49)</f>
        <v/>
      </c>
      <c r="D50" s="12">
        <f>SUM(D47:D49)</f>
        <v/>
      </c>
    </row>
    <row r="51">
      <c r="A51" s="13" t="inlineStr">
        <is>
          <t xml:space="preserve">    You save</t>
        </is>
      </c>
      <c r="C51" s="10">
        <f>C50-C46</f>
        <v/>
      </c>
      <c r="D51" s="10">
        <f>D50-D46</f>
        <v/>
      </c>
      <c r="E51" s="14">
        <f>IF(C50=0,0,(C50-C46)/C50)</f>
        <v/>
      </c>
      <c r="F51" s="14">
        <f>IF(D50=0,0,(D50-D46)/D50)</f>
        <v/>
      </c>
    </row>
    <row r="52"/>
    <row r="53">
      <c r="A53" s="9" t="inlineStr">
        <is>
          <t>Complete Lead Recovery  —  home_services</t>
        </is>
      </c>
      <c r="B53" s="2" t="inlineStr">
        <is>
          <t>bundle_recovery_home</t>
        </is>
      </c>
      <c r="C53" s="10">
        <f>'All Services'!E10</f>
        <v/>
      </c>
      <c r="D53" s="10">
        <f>'All Services'!F10</f>
        <v/>
      </c>
      <c r="E53" s="11" t="inlineStr">
        <is>
          <t>In development</t>
        </is>
      </c>
    </row>
    <row r="54">
      <c r="A54" s="11" t="inlineStr">
        <is>
          <t xml:space="preserve">    Missed-Call Text-Back</t>
        </is>
      </c>
      <c r="B54" s="2" t="inlineStr">
        <is>
          <t>recover_missed_call_home</t>
        </is>
      </c>
      <c r="C54" s="12">
        <f>'All Services'!E21</f>
        <v/>
      </c>
      <c r="D54" s="12">
        <f>'All Services'!F21</f>
        <v/>
      </c>
    </row>
    <row r="55">
      <c r="A55" s="11" t="inlineStr">
        <is>
          <t xml:space="preserve">    After-Hours Intake</t>
        </is>
      </c>
      <c r="B55" s="2" t="inlineStr">
        <is>
          <t>after_hours_intake_home</t>
        </is>
      </c>
      <c r="C55" s="12">
        <f>'All Services'!E24</f>
        <v/>
      </c>
      <c r="D55" s="12">
        <f>'All Services'!F24</f>
        <v/>
      </c>
    </row>
    <row r="56">
      <c r="A56" s="11" t="inlineStr">
        <is>
          <t xml:space="preserve">    Lead Nurture Sequences</t>
        </is>
      </c>
      <c r="B56" s="2" t="inlineStr">
        <is>
          <t>nurture_home</t>
        </is>
      </c>
      <c r="C56" s="12">
        <f>'All Services'!E27</f>
        <v/>
      </c>
      <c r="D56" s="12">
        <f>'All Services'!F27</f>
        <v/>
      </c>
    </row>
    <row r="57">
      <c r="A57" s="11" t="inlineStr">
        <is>
          <t xml:space="preserve">    Reminders &amp; No-Show Recovery</t>
        </is>
      </c>
      <c r="B57" s="2" t="inlineStr">
        <is>
          <t>reminders_home</t>
        </is>
      </c>
      <c r="C57" s="12">
        <f>'All Services'!E30</f>
        <v/>
      </c>
      <c r="D57" s="12">
        <f>'All Services'!F30</f>
        <v/>
      </c>
    </row>
    <row r="58">
      <c r="A58" s="11" t="inlineStr">
        <is>
          <t xml:space="preserve">    Bought separately</t>
        </is>
      </c>
      <c r="C58" s="12">
        <f>SUM(C54:C57)</f>
        <v/>
      </c>
      <c r="D58" s="12">
        <f>SUM(D54:D57)</f>
        <v/>
      </c>
    </row>
    <row r="59">
      <c r="A59" s="13" t="inlineStr">
        <is>
          <t xml:space="preserve">    You save</t>
        </is>
      </c>
      <c r="C59" s="10">
        <f>C58-C53</f>
        <v/>
      </c>
      <c r="D59" s="10">
        <f>D58-D53</f>
        <v/>
      </c>
      <c r="E59" s="14">
        <f>IF(C58=0,0,(C58-C53)/C58)</f>
        <v/>
      </c>
      <c r="F59" s="14">
        <f>IF(D58=0,0,(D58-D53)/D58)</f>
        <v/>
      </c>
    </row>
    <row r="60"/>
    <row r="61">
      <c r="A61" s="9" t="inlineStr">
        <is>
          <t>Complete Lead Recovery  —  law_firm</t>
        </is>
      </c>
      <c r="B61" s="2" t="inlineStr">
        <is>
          <t>bundle_recovery_law</t>
        </is>
      </c>
      <c r="C61" s="10">
        <f>'All Services'!E11</f>
        <v/>
      </c>
      <c r="D61" s="10">
        <f>'All Services'!F11</f>
        <v/>
      </c>
      <c r="E61" s="11" t="inlineStr">
        <is>
          <t>In development</t>
        </is>
      </c>
    </row>
    <row r="62">
      <c r="A62" s="11" t="inlineStr">
        <is>
          <t xml:space="preserve">    Missed-Call Text-Back</t>
        </is>
      </c>
      <c r="B62" s="2" t="inlineStr">
        <is>
          <t>recover_missed_call_law</t>
        </is>
      </c>
      <c r="C62" s="12">
        <f>'All Services'!E22</f>
        <v/>
      </c>
      <c r="D62" s="12">
        <f>'All Services'!F22</f>
        <v/>
      </c>
    </row>
    <row r="63">
      <c r="A63" s="11" t="inlineStr">
        <is>
          <t xml:space="preserve">    After-Hours Intake</t>
        </is>
      </c>
      <c r="B63" s="2" t="inlineStr">
        <is>
          <t>after_hours_intake_law</t>
        </is>
      </c>
      <c r="C63" s="12">
        <f>'All Services'!E25</f>
        <v/>
      </c>
      <c r="D63" s="12">
        <f>'All Services'!F25</f>
        <v/>
      </c>
    </row>
    <row r="64">
      <c r="A64" s="11" t="inlineStr">
        <is>
          <t xml:space="preserve">    Lead Nurture Sequences</t>
        </is>
      </c>
      <c r="B64" s="2" t="inlineStr">
        <is>
          <t>nurture_law</t>
        </is>
      </c>
      <c r="C64" s="12">
        <f>'All Services'!E28</f>
        <v/>
      </c>
      <c r="D64" s="12">
        <f>'All Services'!F28</f>
        <v/>
      </c>
    </row>
    <row r="65">
      <c r="A65" s="11" t="inlineStr">
        <is>
          <t xml:space="preserve">    Reminders &amp; No-Show Recovery</t>
        </is>
      </c>
      <c r="B65" s="2" t="inlineStr">
        <is>
          <t>reminders_law</t>
        </is>
      </c>
      <c r="C65" s="12">
        <f>'All Services'!E31</f>
        <v/>
      </c>
      <c r="D65" s="12">
        <f>'All Services'!F31</f>
        <v/>
      </c>
    </row>
    <row r="66">
      <c r="A66" s="11" t="inlineStr">
        <is>
          <t xml:space="preserve">    Bought separately</t>
        </is>
      </c>
      <c r="C66" s="12">
        <f>SUM(C62:C65)</f>
        <v/>
      </c>
      <c r="D66" s="12">
        <f>SUM(D62:D65)</f>
        <v/>
      </c>
    </row>
    <row r="67">
      <c r="A67" s="13" t="inlineStr">
        <is>
          <t xml:space="preserve">    You save</t>
        </is>
      </c>
      <c r="C67" s="10">
        <f>C66-C61</f>
        <v/>
      </c>
      <c r="D67" s="10">
        <f>D66-D61</f>
        <v/>
      </c>
      <c r="E67" s="14">
        <f>IF(C66=0,0,(C66-C61)/C66)</f>
        <v/>
      </c>
      <c r="F67" s="14">
        <f>IF(D66=0,0,(D66-D61)/D66)</f>
        <v/>
      </c>
    </row>
    <row r="68"/>
    <row r="69">
      <c r="A69" s="9" t="inlineStr">
        <is>
          <t>Complete Lead Recovery  —  medical</t>
        </is>
      </c>
      <c r="B69" s="2" t="inlineStr">
        <is>
          <t>bundle_recovery_medical</t>
        </is>
      </c>
      <c r="C69" s="10">
        <f>'All Services'!E12</f>
        <v/>
      </c>
      <c r="D69" s="10">
        <f>'All Services'!F12</f>
        <v/>
      </c>
      <c r="E69" s="11" t="inlineStr">
        <is>
          <t>In development</t>
        </is>
      </c>
    </row>
    <row r="70">
      <c r="A70" s="11" t="inlineStr">
        <is>
          <t xml:space="preserve">    Missed-Call Text-Back</t>
        </is>
      </c>
      <c r="B70" s="2" t="inlineStr">
        <is>
          <t>recover_missed_call_medical</t>
        </is>
      </c>
      <c r="C70" s="12">
        <f>'All Services'!E23</f>
        <v/>
      </c>
      <c r="D70" s="12">
        <f>'All Services'!F23</f>
        <v/>
      </c>
    </row>
    <row r="71">
      <c r="A71" s="11" t="inlineStr">
        <is>
          <t xml:space="preserve">    After-Hours Intake</t>
        </is>
      </c>
      <c r="B71" s="2" t="inlineStr">
        <is>
          <t>after_hours_intake_medical</t>
        </is>
      </c>
      <c r="C71" s="12">
        <f>'All Services'!E26</f>
        <v/>
      </c>
      <c r="D71" s="12">
        <f>'All Services'!F26</f>
        <v/>
      </c>
    </row>
    <row r="72">
      <c r="A72" s="11" t="inlineStr">
        <is>
          <t xml:space="preserve">    Recall &amp; Reactivation</t>
        </is>
      </c>
      <c r="B72" s="2" t="inlineStr">
        <is>
          <t>nurture_medical</t>
        </is>
      </c>
      <c r="C72" s="12">
        <f>'All Services'!E29</f>
        <v/>
      </c>
      <c r="D72" s="12">
        <f>'All Services'!F29</f>
        <v/>
      </c>
    </row>
    <row r="73">
      <c r="A73" s="11" t="inlineStr">
        <is>
          <t xml:space="preserve">    Reminders &amp; No-Show Recovery</t>
        </is>
      </c>
      <c r="B73" s="2" t="inlineStr">
        <is>
          <t>reminders_medical</t>
        </is>
      </c>
      <c r="C73" s="12">
        <f>'All Services'!E32</f>
        <v/>
      </c>
      <c r="D73" s="12">
        <f>'All Services'!F32</f>
        <v/>
      </c>
    </row>
    <row r="74">
      <c r="A74" s="11" t="inlineStr">
        <is>
          <t xml:space="preserve">    Bought separately</t>
        </is>
      </c>
      <c r="C74" s="12">
        <f>SUM(C70:C73)</f>
        <v/>
      </c>
      <c r="D74" s="12">
        <f>SUM(D70:D73)</f>
        <v/>
      </c>
    </row>
    <row r="75">
      <c r="A75" s="13" t="inlineStr">
        <is>
          <t xml:space="preserve">    You save</t>
        </is>
      </c>
      <c r="C75" s="10">
        <f>C74-C69</f>
        <v/>
      </c>
      <c r="D75" s="10">
        <f>D74-D69</f>
        <v/>
      </c>
      <c r="E75" s="14">
        <f>IF(C74=0,0,(C74-C69)/C74)</f>
        <v/>
      </c>
      <c r="F75" s="14">
        <f>IF(D74=0,0,(D74-D69)/D74)</f>
        <v/>
      </c>
    </row>
  </sheetData>
  <mergeCells count="1">
    <mergeCell ref="A2:G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Home Services — what this vertical can buy</t>
        </is>
      </c>
    </row>
    <row r="3">
      <c r="A3" s="3" t="inlineStr">
        <is>
          <t>Service</t>
        </is>
      </c>
      <c r="B3" s="3" t="inlineStr">
        <is>
          <t>Code</t>
        </is>
      </c>
      <c r="C3" s="3" t="inlineStr">
        <is>
          <t>Type</t>
        </is>
      </c>
      <c r="D3" s="3" t="inlineStr">
        <is>
          <t>Setup</t>
        </is>
      </c>
      <c r="E3" s="3" t="inlineStr">
        <is>
          <t>Monthly</t>
        </is>
      </c>
      <c r="F3" s="3" t="inlineStr">
        <is>
          <t>Per lead</t>
        </is>
      </c>
      <c r="G3" s="3" t="inlineStr">
        <is>
          <t>Status</t>
        </is>
      </c>
    </row>
    <row r="4">
      <c r="A4" s="11" t="inlineStr">
        <is>
          <t>The Whole System</t>
        </is>
      </c>
      <c r="B4" s="2" t="inlineStr">
        <is>
          <t>bundle_complete_home</t>
        </is>
      </c>
      <c r="C4" s="11" t="inlineStr">
        <is>
          <t>bundle</t>
        </is>
      </c>
      <c r="D4" s="12">
        <f>'All Services'!E5</f>
        <v/>
      </c>
      <c r="E4" s="12">
        <f>'All Services'!F5</f>
        <v/>
      </c>
      <c r="F4" s="12">
        <f>'All Services'!J5</f>
        <v/>
      </c>
      <c r="G4" s="11" t="inlineStr">
        <is>
          <t>In development</t>
        </is>
      </c>
    </row>
    <row r="5">
      <c r="A5" s="11" t="inlineStr">
        <is>
          <t>Complete Phone Cover</t>
        </is>
      </c>
      <c r="B5" s="2" t="inlineStr">
        <is>
          <t>bundle_voice_home</t>
        </is>
      </c>
      <c r="C5" s="11" t="inlineStr">
        <is>
          <t>bundle</t>
        </is>
      </c>
      <c r="D5" s="12">
        <f>'All Services'!E8</f>
        <v/>
      </c>
      <c r="E5" s="12">
        <f>'All Services'!F8</f>
        <v/>
      </c>
      <c r="F5" s="12">
        <f>'All Services'!J8</f>
        <v/>
      </c>
      <c r="G5" s="11" t="inlineStr">
        <is>
          <t>In development</t>
        </is>
      </c>
    </row>
    <row r="6">
      <c r="A6" s="11" t="inlineStr">
        <is>
          <t>Complete Lead Recovery</t>
        </is>
      </c>
      <c r="B6" s="2" t="inlineStr">
        <is>
          <t>bundle_recovery_home</t>
        </is>
      </c>
      <c r="C6" s="11" t="inlineStr">
        <is>
          <t>bundle</t>
        </is>
      </c>
      <c r="D6" s="12">
        <f>'All Services'!E10</f>
        <v/>
      </c>
      <c r="E6" s="12">
        <f>'All Services'!F10</f>
        <v/>
      </c>
      <c r="F6" s="12">
        <f>'All Services'!J10</f>
        <v/>
      </c>
      <c r="G6" s="11" t="inlineStr">
        <is>
          <t>In development</t>
        </is>
      </c>
    </row>
    <row r="7">
      <c r="A7" s="11" t="inlineStr">
        <is>
          <t>AI Phone Agent</t>
        </is>
      </c>
      <c r="B7" s="2" t="inlineStr">
        <is>
          <t>voice_reception_home</t>
        </is>
      </c>
      <c r="C7" s="11" t="inlineStr">
        <is>
          <t>voice</t>
        </is>
      </c>
      <c r="D7" s="12">
        <f>'All Services'!E13</f>
        <v/>
      </c>
      <c r="E7" s="12">
        <f>'All Services'!F13</f>
        <v/>
      </c>
      <c r="F7" s="12">
        <f>'All Services'!J13</f>
        <v/>
      </c>
      <c r="G7" s="11" t="inlineStr">
        <is>
          <t>Available now</t>
        </is>
      </c>
    </row>
    <row r="8">
      <c r="A8" s="11" t="inlineStr">
        <is>
          <t>Instant Lead Callback</t>
        </is>
      </c>
      <c r="B8" s="2" t="inlineStr">
        <is>
          <t>voice_callback_home</t>
        </is>
      </c>
      <c r="C8" s="11" t="inlineStr">
        <is>
          <t>voice</t>
        </is>
      </c>
      <c r="D8" s="12">
        <f>'All Services'!E16</f>
        <v/>
      </c>
      <c r="E8" s="12">
        <f>'All Services'!F16</f>
        <v/>
      </c>
      <c r="F8" s="12">
        <f>'All Services'!J16</f>
        <v/>
      </c>
      <c r="G8" s="11" t="inlineStr">
        <is>
          <t>In development</t>
        </is>
      </c>
    </row>
    <row r="9">
      <c r="A9" s="11" t="inlineStr">
        <is>
          <t>After-Hours Answering</t>
        </is>
      </c>
      <c r="B9" s="2" t="inlineStr">
        <is>
          <t>voice_afterhours</t>
        </is>
      </c>
      <c r="C9" s="11" t="inlineStr">
        <is>
          <t>voice</t>
        </is>
      </c>
      <c r="D9" s="12">
        <f>'All Services'!E18</f>
        <v/>
      </c>
      <c r="E9" s="12">
        <f>'All Services'!F18</f>
        <v/>
      </c>
      <c r="F9" s="12">
        <f>'All Services'!J18</f>
        <v/>
      </c>
      <c r="G9" s="11" t="inlineStr">
        <is>
          <t>In development</t>
        </is>
      </c>
    </row>
    <row r="10">
      <c r="A10" s="11" t="inlineStr">
        <is>
          <t>Spanish-Speaking Agent</t>
        </is>
      </c>
      <c r="B10" s="2" t="inlineStr">
        <is>
          <t>voice_spanish</t>
        </is>
      </c>
      <c r="C10" s="11" t="inlineStr">
        <is>
          <t>voice</t>
        </is>
      </c>
      <c r="D10" s="12">
        <f>'All Services'!E19</f>
        <v/>
      </c>
      <c r="E10" s="12">
        <f>'All Services'!F19</f>
        <v/>
      </c>
      <c r="F10" s="12">
        <f>'All Services'!J19</f>
        <v/>
      </c>
      <c r="G10" s="11" t="inlineStr">
        <is>
          <t>In development</t>
        </is>
      </c>
    </row>
    <row r="11">
      <c r="A11" s="11" t="inlineStr">
        <is>
          <t>Review Requests</t>
        </is>
      </c>
      <c r="B11" s="2" t="inlineStr">
        <is>
          <t>sms_reviews</t>
        </is>
      </c>
      <c r="C11" s="11" t="inlineStr">
        <is>
          <t>messaging</t>
        </is>
      </c>
      <c r="D11" s="12">
        <f>'All Services'!E20</f>
        <v/>
      </c>
      <c r="E11" s="12">
        <f>'All Services'!F20</f>
        <v/>
      </c>
      <c r="F11" s="12">
        <f>'All Services'!J20</f>
        <v/>
      </c>
      <c r="G11" s="11" t="inlineStr">
        <is>
          <t>In development</t>
        </is>
      </c>
    </row>
    <row r="12">
      <c r="A12" s="11" t="inlineStr">
        <is>
          <t>Missed-Call Text-Back</t>
        </is>
      </c>
      <c r="B12" s="2" t="inlineStr">
        <is>
          <t>recover_missed_call_home</t>
        </is>
      </c>
      <c r="C12" s="11" t="inlineStr">
        <is>
          <t>messaging</t>
        </is>
      </c>
      <c r="D12" s="12">
        <f>'All Services'!E21</f>
        <v/>
      </c>
      <c r="E12" s="12">
        <f>'All Services'!F21</f>
        <v/>
      </c>
      <c r="F12" s="12">
        <f>'All Services'!J21</f>
        <v/>
      </c>
      <c r="G12" s="11" t="inlineStr">
        <is>
          <t>Available now</t>
        </is>
      </c>
    </row>
    <row r="13">
      <c r="A13" s="11" t="inlineStr">
        <is>
          <t>After-Hours Intake</t>
        </is>
      </c>
      <c r="B13" s="2" t="inlineStr">
        <is>
          <t>after_hours_intake_home</t>
        </is>
      </c>
      <c r="C13" s="11" t="inlineStr">
        <is>
          <t>messaging</t>
        </is>
      </c>
      <c r="D13" s="12">
        <f>'All Services'!E24</f>
        <v/>
      </c>
      <c r="E13" s="12">
        <f>'All Services'!F24</f>
        <v/>
      </c>
      <c r="F13" s="12">
        <f>'All Services'!J24</f>
        <v/>
      </c>
      <c r="G13" s="11" t="inlineStr">
        <is>
          <t>Available now</t>
        </is>
      </c>
    </row>
    <row r="14">
      <c r="A14" s="11" t="inlineStr">
        <is>
          <t>Lead Nurture Sequences</t>
        </is>
      </c>
      <c r="B14" s="2" t="inlineStr">
        <is>
          <t>nurture_home</t>
        </is>
      </c>
      <c r="C14" s="11" t="inlineStr">
        <is>
          <t>messaging</t>
        </is>
      </c>
      <c r="D14" s="12">
        <f>'All Services'!E27</f>
        <v/>
      </c>
      <c r="E14" s="12">
        <f>'All Services'!F27</f>
        <v/>
      </c>
      <c r="F14" s="12">
        <f>'All Services'!J27</f>
        <v/>
      </c>
      <c r="G14" s="11" t="inlineStr">
        <is>
          <t>In development</t>
        </is>
      </c>
    </row>
    <row r="15">
      <c r="A15" s="11" t="inlineStr">
        <is>
          <t>Reminders &amp; No-Show Recovery</t>
        </is>
      </c>
      <c r="B15" s="2" t="inlineStr">
        <is>
          <t>reminders_home</t>
        </is>
      </c>
      <c r="C15" s="11" t="inlineStr">
        <is>
          <t>messaging</t>
        </is>
      </c>
      <c r="D15" s="12">
        <f>'All Services'!E30</f>
        <v/>
      </c>
      <c r="E15" s="12">
        <f>'All Services'!F30</f>
        <v/>
      </c>
      <c r="F15" s="12">
        <f>'All Services'!J30</f>
        <v/>
      </c>
      <c r="G15" s="11" t="inlineStr">
        <is>
          <t>In development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Law Firms — what this vertical can buy</t>
        </is>
      </c>
    </row>
    <row r="3">
      <c r="A3" s="3" t="inlineStr">
        <is>
          <t>Service</t>
        </is>
      </c>
      <c r="B3" s="3" t="inlineStr">
        <is>
          <t>Code</t>
        </is>
      </c>
      <c r="C3" s="3" t="inlineStr">
        <is>
          <t>Type</t>
        </is>
      </c>
      <c r="D3" s="3" t="inlineStr">
        <is>
          <t>Setup</t>
        </is>
      </c>
      <c r="E3" s="3" t="inlineStr">
        <is>
          <t>Monthly</t>
        </is>
      </c>
      <c r="F3" s="3" t="inlineStr">
        <is>
          <t>Per lead</t>
        </is>
      </c>
      <c r="G3" s="3" t="inlineStr">
        <is>
          <t>Status</t>
        </is>
      </c>
    </row>
    <row r="4">
      <c r="A4" s="11" t="inlineStr">
        <is>
          <t>The Whole System</t>
        </is>
      </c>
      <c r="B4" s="2" t="inlineStr">
        <is>
          <t>bundle_complete_law</t>
        </is>
      </c>
      <c r="C4" s="11" t="inlineStr">
        <is>
          <t>bundle</t>
        </is>
      </c>
      <c r="D4" s="12">
        <f>'All Services'!E6</f>
        <v/>
      </c>
      <c r="E4" s="12">
        <f>'All Services'!F6</f>
        <v/>
      </c>
      <c r="F4" s="12">
        <f>'All Services'!J6</f>
        <v/>
      </c>
      <c r="G4" s="11" t="inlineStr">
        <is>
          <t>In development</t>
        </is>
      </c>
    </row>
    <row r="5">
      <c r="A5" s="11" t="inlineStr">
        <is>
          <t>Complete Phone Cover</t>
        </is>
      </c>
      <c r="B5" s="2" t="inlineStr">
        <is>
          <t>bundle_voice_law</t>
        </is>
      </c>
      <c r="C5" s="11" t="inlineStr">
        <is>
          <t>bundle</t>
        </is>
      </c>
      <c r="D5" s="12">
        <f>'All Services'!E9</f>
        <v/>
      </c>
      <c r="E5" s="12">
        <f>'All Services'!F9</f>
        <v/>
      </c>
      <c r="F5" s="12">
        <f>'All Services'!J9</f>
        <v/>
      </c>
      <c r="G5" s="11" t="inlineStr">
        <is>
          <t>In development</t>
        </is>
      </c>
    </row>
    <row r="6">
      <c r="A6" s="11" t="inlineStr">
        <is>
          <t>Complete Lead Recovery</t>
        </is>
      </c>
      <c r="B6" s="2" t="inlineStr">
        <is>
          <t>bundle_recovery_law</t>
        </is>
      </c>
      <c r="C6" s="11" t="inlineStr">
        <is>
          <t>bundle</t>
        </is>
      </c>
      <c r="D6" s="12">
        <f>'All Services'!E11</f>
        <v/>
      </c>
      <c r="E6" s="12">
        <f>'All Services'!F11</f>
        <v/>
      </c>
      <c r="F6" s="12">
        <f>'All Services'!J11</f>
        <v/>
      </c>
      <c r="G6" s="11" t="inlineStr">
        <is>
          <t>In development</t>
        </is>
      </c>
    </row>
    <row r="7">
      <c r="A7" s="11" t="inlineStr">
        <is>
          <t>AI Intake Agent</t>
        </is>
      </c>
      <c r="B7" s="2" t="inlineStr">
        <is>
          <t>voice_reception_law</t>
        </is>
      </c>
      <c r="C7" s="11" t="inlineStr">
        <is>
          <t>voice</t>
        </is>
      </c>
      <c r="D7" s="12">
        <f>'All Services'!E14</f>
        <v/>
      </c>
      <c r="E7" s="12">
        <f>'All Services'!F14</f>
        <v/>
      </c>
      <c r="F7" s="12">
        <f>'All Services'!J14</f>
        <v/>
      </c>
      <c r="G7" s="11" t="inlineStr">
        <is>
          <t>In development</t>
        </is>
      </c>
    </row>
    <row r="8">
      <c r="A8" s="11" t="inlineStr">
        <is>
          <t>Instant Lead Callback</t>
        </is>
      </c>
      <c r="B8" s="2" t="inlineStr">
        <is>
          <t>voice_callback_law</t>
        </is>
      </c>
      <c r="C8" s="11" t="inlineStr">
        <is>
          <t>voice</t>
        </is>
      </c>
      <c r="D8" s="12">
        <f>'All Services'!E17</f>
        <v/>
      </c>
      <c r="E8" s="12">
        <f>'All Services'!F17</f>
        <v/>
      </c>
      <c r="F8" s="12">
        <f>'All Services'!J17</f>
        <v/>
      </c>
      <c r="G8" s="11" t="inlineStr">
        <is>
          <t>In development</t>
        </is>
      </c>
    </row>
    <row r="9">
      <c r="A9" s="11" t="inlineStr">
        <is>
          <t>After-Hours Answering</t>
        </is>
      </c>
      <c r="B9" s="2" t="inlineStr">
        <is>
          <t>voice_afterhours</t>
        </is>
      </c>
      <c r="C9" s="11" t="inlineStr">
        <is>
          <t>voice</t>
        </is>
      </c>
      <c r="D9" s="12">
        <f>'All Services'!E18</f>
        <v/>
      </c>
      <c r="E9" s="12">
        <f>'All Services'!F18</f>
        <v/>
      </c>
      <c r="F9" s="12">
        <f>'All Services'!J18</f>
        <v/>
      </c>
      <c r="G9" s="11" t="inlineStr">
        <is>
          <t>In development</t>
        </is>
      </c>
    </row>
    <row r="10">
      <c r="A10" s="11" t="inlineStr">
        <is>
          <t>Spanish-Speaking Agent</t>
        </is>
      </c>
      <c r="B10" s="2" t="inlineStr">
        <is>
          <t>voice_spanish</t>
        </is>
      </c>
      <c r="C10" s="11" t="inlineStr">
        <is>
          <t>voice</t>
        </is>
      </c>
      <c r="D10" s="12">
        <f>'All Services'!E19</f>
        <v/>
      </c>
      <c r="E10" s="12">
        <f>'All Services'!F19</f>
        <v/>
      </c>
      <c r="F10" s="12">
        <f>'All Services'!J19</f>
        <v/>
      </c>
      <c r="G10" s="11" t="inlineStr">
        <is>
          <t>In development</t>
        </is>
      </c>
    </row>
    <row r="11">
      <c r="A11" s="11" t="inlineStr">
        <is>
          <t>Review Requests</t>
        </is>
      </c>
      <c r="B11" s="2" t="inlineStr">
        <is>
          <t>sms_reviews</t>
        </is>
      </c>
      <c r="C11" s="11" t="inlineStr">
        <is>
          <t>messaging</t>
        </is>
      </c>
      <c r="D11" s="12">
        <f>'All Services'!E20</f>
        <v/>
      </c>
      <c r="E11" s="12">
        <f>'All Services'!F20</f>
        <v/>
      </c>
      <c r="F11" s="12">
        <f>'All Services'!J20</f>
        <v/>
      </c>
      <c r="G11" s="11" t="inlineStr">
        <is>
          <t>In development</t>
        </is>
      </c>
    </row>
    <row r="12">
      <c r="A12" s="11" t="inlineStr">
        <is>
          <t>Missed-Call Text-Back</t>
        </is>
      </c>
      <c r="B12" s="2" t="inlineStr">
        <is>
          <t>recover_missed_call_law</t>
        </is>
      </c>
      <c r="C12" s="11" t="inlineStr">
        <is>
          <t>messaging</t>
        </is>
      </c>
      <c r="D12" s="12">
        <f>'All Services'!E22</f>
        <v/>
      </c>
      <c r="E12" s="12">
        <f>'All Services'!F22</f>
        <v/>
      </c>
      <c r="F12" s="12">
        <f>'All Services'!J22</f>
        <v/>
      </c>
      <c r="G12" s="11" t="inlineStr">
        <is>
          <t>Available now</t>
        </is>
      </c>
    </row>
    <row r="13">
      <c r="A13" s="11" t="inlineStr">
        <is>
          <t>After-Hours Intake</t>
        </is>
      </c>
      <c r="B13" s="2" t="inlineStr">
        <is>
          <t>after_hours_intake_law</t>
        </is>
      </c>
      <c r="C13" s="11" t="inlineStr">
        <is>
          <t>messaging</t>
        </is>
      </c>
      <c r="D13" s="12">
        <f>'All Services'!E25</f>
        <v/>
      </c>
      <c r="E13" s="12">
        <f>'All Services'!F25</f>
        <v/>
      </c>
      <c r="F13" s="12">
        <f>'All Services'!J25</f>
        <v/>
      </c>
      <c r="G13" s="11" t="inlineStr">
        <is>
          <t>Available now</t>
        </is>
      </c>
    </row>
    <row r="14">
      <c r="A14" s="11" t="inlineStr">
        <is>
          <t>Lead Nurture Sequences</t>
        </is>
      </c>
      <c r="B14" s="2" t="inlineStr">
        <is>
          <t>nurture_law</t>
        </is>
      </c>
      <c r="C14" s="11" t="inlineStr">
        <is>
          <t>messaging</t>
        </is>
      </c>
      <c r="D14" s="12">
        <f>'All Services'!E28</f>
        <v/>
      </c>
      <c r="E14" s="12">
        <f>'All Services'!F28</f>
        <v/>
      </c>
      <c r="F14" s="12">
        <f>'All Services'!J28</f>
        <v/>
      </c>
      <c r="G14" s="11" t="inlineStr">
        <is>
          <t>In development</t>
        </is>
      </c>
    </row>
    <row r="15">
      <c r="A15" s="11" t="inlineStr">
        <is>
          <t>Reminders &amp; No-Show Recovery</t>
        </is>
      </c>
      <c r="B15" s="2" t="inlineStr">
        <is>
          <t>reminders_law</t>
        </is>
      </c>
      <c r="C15" s="11" t="inlineStr">
        <is>
          <t>messaging</t>
        </is>
      </c>
      <c r="D15" s="12">
        <f>'All Services'!E31</f>
        <v/>
      </c>
      <c r="E15" s="12">
        <f>'All Services'!F31</f>
        <v/>
      </c>
      <c r="F15" s="12">
        <f>'All Services'!J31</f>
        <v/>
      </c>
      <c r="G15" s="11" t="inlineStr">
        <is>
          <t>In development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Medical — what this vertical can buy</t>
        </is>
      </c>
    </row>
    <row r="3">
      <c r="A3" s="3" t="inlineStr">
        <is>
          <t>Service</t>
        </is>
      </c>
      <c r="B3" s="3" t="inlineStr">
        <is>
          <t>Code</t>
        </is>
      </c>
      <c r="C3" s="3" t="inlineStr">
        <is>
          <t>Type</t>
        </is>
      </c>
      <c r="D3" s="3" t="inlineStr">
        <is>
          <t>Setup</t>
        </is>
      </c>
      <c r="E3" s="3" t="inlineStr">
        <is>
          <t>Monthly</t>
        </is>
      </c>
      <c r="F3" s="3" t="inlineStr">
        <is>
          <t>Per lead</t>
        </is>
      </c>
      <c r="G3" s="3" t="inlineStr">
        <is>
          <t>Status</t>
        </is>
      </c>
    </row>
    <row r="4">
      <c r="A4" s="11" t="inlineStr">
        <is>
          <t>The Whole System</t>
        </is>
      </c>
      <c r="B4" s="2" t="inlineStr">
        <is>
          <t>bundle_complete_medical</t>
        </is>
      </c>
      <c r="C4" s="11" t="inlineStr">
        <is>
          <t>bundle</t>
        </is>
      </c>
      <c r="D4" s="12">
        <f>'All Services'!E7</f>
        <v/>
      </c>
      <c r="E4" s="12">
        <f>'All Services'!F7</f>
        <v/>
      </c>
      <c r="F4" s="12">
        <f>'All Services'!J7</f>
        <v/>
      </c>
      <c r="G4" s="11" t="inlineStr">
        <is>
          <t>In development</t>
        </is>
      </c>
    </row>
    <row r="5">
      <c r="A5" s="11" t="inlineStr">
        <is>
          <t>Complete Lead Recovery</t>
        </is>
      </c>
      <c r="B5" s="2" t="inlineStr">
        <is>
          <t>bundle_recovery_medical</t>
        </is>
      </c>
      <c r="C5" s="11" t="inlineStr">
        <is>
          <t>bundle</t>
        </is>
      </c>
      <c r="D5" s="12">
        <f>'All Services'!E12</f>
        <v/>
      </c>
      <c r="E5" s="12">
        <f>'All Services'!F12</f>
        <v/>
      </c>
      <c r="F5" s="12">
        <f>'All Services'!J12</f>
        <v/>
      </c>
      <c r="G5" s="11" t="inlineStr">
        <is>
          <t>In development</t>
        </is>
      </c>
    </row>
    <row r="6">
      <c r="A6" s="11" t="inlineStr">
        <is>
          <t>AI Front-Desk Agent</t>
        </is>
      </c>
      <c r="B6" s="2" t="inlineStr">
        <is>
          <t>voice_reception_medical</t>
        </is>
      </c>
      <c r="C6" s="11" t="inlineStr">
        <is>
          <t>voice</t>
        </is>
      </c>
      <c r="D6" s="12">
        <f>'All Services'!E15</f>
        <v/>
      </c>
      <c r="E6" s="12">
        <f>'All Services'!F15</f>
        <v/>
      </c>
      <c r="F6" s="12">
        <f>'All Services'!J15</f>
        <v/>
      </c>
      <c r="G6" s="11" t="inlineStr">
        <is>
          <t>In development</t>
        </is>
      </c>
    </row>
    <row r="7">
      <c r="A7" s="11" t="inlineStr">
        <is>
          <t>After-Hours Answering</t>
        </is>
      </c>
      <c r="B7" s="2" t="inlineStr">
        <is>
          <t>voice_afterhours</t>
        </is>
      </c>
      <c r="C7" s="11" t="inlineStr">
        <is>
          <t>voice</t>
        </is>
      </c>
      <c r="D7" s="12">
        <f>'All Services'!E18</f>
        <v/>
      </c>
      <c r="E7" s="12">
        <f>'All Services'!F18</f>
        <v/>
      </c>
      <c r="F7" s="12">
        <f>'All Services'!J18</f>
        <v/>
      </c>
      <c r="G7" s="11" t="inlineStr">
        <is>
          <t>In development</t>
        </is>
      </c>
    </row>
    <row r="8">
      <c r="A8" s="11" t="inlineStr">
        <is>
          <t>Spanish-Speaking Agent</t>
        </is>
      </c>
      <c r="B8" s="2" t="inlineStr">
        <is>
          <t>voice_spanish</t>
        </is>
      </c>
      <c r="C8" s="11" t="inlineStr">
        <is>
          <t>voice</t>
        </is>
      </c>
      <c r="D8" s="12">
        <f>'All Services'!E19</f>
        <v/>
      </c>
      <c r="E8" s="12">
        <f>'All Services'!F19</f>
        <v/>
      </c>
      <c r="F8" s="12">
        <f>'All Services'!J19</f>
        <v/>
      </c>
      <c r="G8" s="11" t="inlineStr">
        <is>
          <t>In development</t>
        </is>
      </c>
    </row>
    <row r="9">
      <c r="A9" s="11" t="inlineStr">
        <is>
          <t>Missed-Call Text-Back</t>
        </is>
      </c>
      <c r="B9" s="2" t="inlineStr">
        <is>
          <t>recover_missed_call_medical</t>
        </is>
      </c>
      <c r="C9" s="11" t="inlineStr">
        <is>
          <t>messaging</t>
        </is>
      </c>
      <c r="D9" s="12">
        <f>'All Services'!E23</f>
        <v/>
      </c>
      <c r="E9" s="12">
        <f>'All Services'!F23</f>
        <v/>
      </c>
      <c r="F9" s="12">
        <f>'All Services'!J23</f>
        <v/>
      </c>
      <c r="G9" s="11" t="inlineStr">
        <is>
          <t>Available now</t>
        </is>
      </c>
    </row>
    <row r="10">
      <c r="A10" s="11" t="inlineStr">
        <is>
          <t>After-Hours Intake</t>
        </is>
      </c>
      <c r="B10" s="2" t="inlineStr">
        <is>
          <t>after_hours_intake_medical</t>
        </is>
      </c>
      <c r="C10" s="11" t="inlineStr">
        <is>
          <t>messaging</t>
        </is>
      </c>
      <c r="D10" s="12">
        <f>'All Services'!E26</f>
        <v/>
      </c>
      <c r="E10" s="12">
        <f>'All Services'!F26</f>
        <v/>
      </c>
      <c r="F10" s="12">
        <f>'All Services'!J26</f>
        <v/>
      </c>
      <c r="G10" s="11" t="inlineStr">
        <is>
          <t>Available now</t>
        </is>
      </c>
    </row>
    <row r="11">
      <c r="A11" s="11" t="inlineStr">
        <is>
          <t>Recall &amp; Reactivation</t>
        </is>
      </c>
      <c r="B11" s="2" t="inlineStr">
        <is>
          <t>nurture_medical</t>
        </is>
      </c>
      <c r="C11" s="11" t="inlineStr">
        <is>
          <t>messaging</t>
        </is>
      </c>
      <c r="D11" s="12">
        <f>'All Services'!E29</f>
        <v/>
      </c>
      <c r="E11" s="12">
        <f>'All Services'!F29</f>
        <v/>
      </c>
      <c r="F11" s="12">
        <f>'All Services'!J29</f>
        <v/>
      </c>
      <c r="G11" s="11" t="inlineStr">
        <is>
          <t>In development</t>
        </is>
      </c>
    </row>
    <row r="12">
      <c r="A12" s="11" t="inlineStr">
        <is>
          <t>Reminders &amp; No-Show Recovery</t>
        </is>
      </c>
      <c r="B12" s="2" t="inlineStr">
        <is>
          <t>reminders_medical</t>
        </is>
      </c>
      <c r="C12" s="11" t="inlineStr">
        <is>
          <t>messaging</t>
        </is>
      </c>
      <c r="D12" s="12">
        <f>'All Services'!E32</f>
        <v/>
      </c>
      <c r="E12" s="12">
        <f>'All Services'!F32</f>
        <v/>
      </c>
      <c r="F12" s="12">
        <f>'All Services'!J32</f>
        <v/>
      </c>
      <c r="G12" s="11" t="inlineStr">
        <is>
          <t>In development</t>
        </is>
      </c>
    </row>
    <row r="14">
      <c r="A14" s="8" t="inlineStr">
        <is>
          <t>Every medical service requires a signed BAA covering every vendor in the path before go-live, and is flat-fee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What one client is worth in year one</t>
        </is>
      </c>
    </row>
    <row r="2">
      <c r="A2" s="2" t="inlineStr">
        <is>
          <t>Setup plus twelve months. Edit the client count in blue to size a book of business. Revenue only — no cost data exists in the system, so there is no margin here to show.</t>
        </is>
      </c>
    </row>
    <row r="4">
      <c r="A4" s="3" t="inlineStr">
        <is>
          <t>Package</t>
        </is>
      </c>
      <c r="B4" s="3" t="inlineStr">
        <is>
          <t>Clients</t>
        </is>
      </c>
      <c r="C4" s="3" t="inlineStr">
        <is>
          <t>Setup each</t>
        </is>
      </c>
      <c r="D4" s="3" t="inlineStr">
        <is>
          <t>Monthly each</t>
        </is>
      </c>
      <c r="E4" s="3" t="inlineStr">
        <is>
          <t>Year one each</t>
        </is>
      </c>
      <c r="F4" s="3" t="inlineStr">
        <is>
          <t>Year one total</t>
        </is>
      </c>
    </row>
    <row r="5">
      <c r="A5" s="11" t="inlineStr">
        <is>
          <t>The Whole System — home_services</t>
        </is>
      </c>
      <c r="B5" s="15" t="n">
        <v>1</v>
      </c>
      <c r="C5" s="12">
        <f>'All Services'!E5</f>
        <v/>
      </c>
      <c r="D5" s="12">
        <f>'All Services'!F5</f>
        <v/>
      </c>
      <c r="E5" s="10">
        <f>C5+(D5*12)</f>
        <v/>
      </c>
      <c r="F5" s="10">
        <f>B5*E5</f>
        <v/>
      </c>
    </row>
    <row r="6">
      <c r="A6" s="11" t="inlineStr">
        <is>
          <t>The Whole System — law_firm</t>
        </is>
      </c>
      <c r="B6" s="15" t="n">
        <v>1</v>
      </c>
      <c r="C6" s="12">
        <f>'All Services'!E6</f>
        <v/>
      </c>
      <c r="D6" s="12">
        <f>'All Services'!F6</f>
        <v/>
      </c>
      <c r="E6" s="10">
        <f>C6+(D6*12)</f>
        <v/>
      </c>
      <c r="F6" s="10">
        <f>B6*E6</f>
        <v/>
      </c>
    </row>
    <row r="7">
      <c r="A7" s="11" t="inlineStr">
        <is>
          <t>The Whole System — medical</t>
        </is>
      </c>
      <c r="B7" s="15" t="n">
        <v>1</v>
      </c>
      <c r="C7" s="12">
        <f>'All Services'!E7</f>
        <v/>
      </c>
      <c r="D7" s="12">
        <f>'All Services'!F7</f>
        <v/>
      </c>
      <c r="E7" s="10">
        <f>C7+(D7*12)</f>
        <v/>
      </c>
      <c r="F7" s="10">
        <f>B7*E7</f>
        <v/>
      </c>
    </row>
    <row r="8">
      <c r="A8" s="11" t="inlineStr">
        <is>
          <t>Complete Phone Cover — home_services</t>
        </is>
      </c>
      <c r="B8" s="15" t="n">
        <v>1</v>
      </c>
      <c r="C8" s="12">
        <f>'All Services'!E8</f>
        <v/>
      </c>
      <c r="D8" s="12">
        <f>'All Services'!F8</f>
        <v/>
      </c>
      <c r="E8" s="10">
        <f>C8+(D8*12)</f>
        <v/>
      </c>
      <c r="F8" s="10">
        <f>B8*E8</f>
        <v/>
      </c>
    </row>
    <row r="9">
      <c r="A9" s="11" t="inlineStr">
        <is>
          <t>Complete Phone Cover — law_firm</t>
        </is>
      </c>
      <c r="B9" s="15" t="n">
        <v>1</v>
      </c>
      <c r="C9" s="12">
        <f>'All Services'!E9</f>
        <v/>
      </c>
      <c r="D9" s="12">
        <f>'All Services'!F9</f>
        <v/>
      </c>
      <c r="E9" s="10">
        <f>C9+(D9*12)</f>
        <v/>
      </c>
      <c r="F9" s="10">
        <f>B9*E9</f>
        <v/>
      </c>
    </row>
    <row r="10">
      <c r="A10" s="11" t="inlineStr">
        <is>
          <t>Complete Lead Recovery — home_services</t>
        </is>
      </c>
      <c r="B10" s="15" t="n">
        <v>1</v>
      </c>
      <c r="C10" s="12">
        <f>'All Services'!E10</f>
        <v/>
      </c>
      <c r="D10" s="12">
        <f>'All Services'!F10</f>
        <v/>
      </c>
      <c r="E10" s="10">
        <f>C10+(D10*12)</f>
        <v/>
      </c>
      <c r="F10" s="10">
        <f>B10*E10</f>
        <v/>
      </c>
    </row>
    <row r="11">
      <c r="A11" s="11" t="inlineStr">
        <is>
          <t>Complete Lead Recovery — law_firm</t>
        </is>
      </c>
      <c r="B11" s="15" t="n">
        <v>1</v>
      </c>
      <c r="C11" s="12">
        <f>'All Services'!E11</f>
        <v/>
      </c>
      <c r="D11" s="12">
        <f>'All Services'!F11</f>
        <v/>
      </c>
      <c r="E11" s="10">
        <f>C11+(D11*12)</f>
        <v/>
      </c>
      <c r="F11" s="10">
        <f>B11*E11</f>
        <v/>
      </c>
    </row>
    <row r="12">
      <c r="A12" s="11" t="inlineStr">
        <is>
          <t>Complete Lead Recovery — medical</t>
        </is>
      </c>
      <c r="B12" s="15" t="n">
        <v>1</v>
      </c>
      <c r="C12" s="12">
        <f>'All Services'!E12</f>
        <v/>
      </c>
      <c r="D12" s="12">
        <f>'All Services'!F12</f>
        <v/>
      </c>
      <c r="E12" s="10">
        <f>C12+(D12*12)</f>
        <v/>
      </c>
      <c r="F12" s="10">
        <f>B12*E12</f>
        <v/>
      </c>
    </row>
    <row r="13">
      <c r="A13" s="13" t="inlineStr">
        <is>
          <t>Total</t>
        </is>
      </c>
      <c r="F13" s="10">
        <f>SUM(F5:F12)</f>
        <v/>
      </c>
    </row>
    <row r="15">
      <c r="A15" s="8" t="inlineStr">
        <is>
          <t>Excludes per-lead fees and any usage beyond the included allowance, both of which vary by client. Year one only — setup is not repeated in year two.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2026-08-03T13:28:11Z</dcterms:created>
  <dcterms:modified xsi:type="dcterms:W3CDTF">2026-08-03T13:28:11Z</dcterms:modified>
</cp:coreProperties>
</file>